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925" windowHeight="9840" tabRatio="600" firstSheet="0" activeTab="0" autoFilterDateGrouping="1"/>
  </bookViews>
  <sheets>
    <sheet name="充电时间及曲线" sheetId="1" state="visible" r:id="rId1"/>
    <sheet name="放电时间及曲线" sheetId="2" state="visible" r:id="rId2"/>
  </sheets>
  <externalReferences>
    <externalReference r:id="rId3"/>
  </externalReferences>
  <definedNames>
    <definedName name="_CH32">[1]Data!$AG$7</definedName>
  </definedNames>
  <calcPr calcId="144525" fullCalcOnLoad="1"/>
</workbook>
</file>

<file path=xl/styles.xml><?xml version="1.0" encoding="utf-8"?>
<styleSheet xmlns="http://schemas.openxmlformats.org/spreadsheetml/2006/main">
  <numFmts count="5">
    <numFmt numFmtId="164" formatCode="0.0000_ "/>
    <numFmt numFmtId="165" formatCode="0.00_ "/>
    <numFmt numFmtId="166" formatCode="General&quot; Wh&quot;"/>
    <numFmt numFmtId="167" formatCode="0.0000%"/>
    <numFmt numFmtId="168" formatCode="0.000%"/>
  </numFmts>
  <fonts count="23">
    <font>
      <name val="宋体"/>
      <charset val="134"/>
      <color theme="1"/>
      <sz val="11"/>
      <scheme val="minor"/>
    </font>
    <font>
      <name val="等线"/>
      <charset val="134"/>
      <b val="1"/>
      <color rgb="FF000000"/>
      <sz val="20"/>
    </font>
    <font>
      <name val="宋体"/>
      <charset val="134"/>
      <b val="1"/>
      <color theme="1"/>
      <sz val="20"/>
      <scheme val="minor"/>
    </font>
    <font>
      <name val="宋体"/>
      <charset val="134"/>
      <sz val="12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006100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4" fillId="12" borderId="0" applyAlignment="1">
      <alignment vertical="center"/>
    </xf>
    <xf numFmtId="0" fontId="6" fillId="8" borderId="7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4" fillId="7" borderId="0" applyAlignment="1">
      <alignment vertical="center"/>
    </xf>
    <xf numFmtId="0" fontId="11" fillId="14" borderId="0" applyAlignment="1">
      <alignment vertical="center"/>
    </xf>
    <xf numFmtId="43" fontId="0" fillId="0" borderId="0" applyAlignment="1">
      <alignment vertical="center"/>
    </xf>
    <xf numFmtId="0" fontId="5" fillId="18" borderId="0" applyAlignment="1">
      <alignment vertical="center"/>
    </xf>
    <xf numFmtId="0" fontId="12" fillId="0" borderId="0" applyAlignment="1">
      <alignment vertical="center"/>
    </xf>
    <xf numFmtId="9" fontId="0" fillId="0" borderId="0" applyAlignment="1">
      <alignment vertical="center"/>
    </xf>
    <xf numFmtId="0" fontId="14" fillId="0" borderId="0" applyAlignment="1">
      <alignment vertical="center"/>
    </xf>
    <xf numFmtId="0" fontId="0" fillId="13" borderId="8" applyAlignment="1">
      <alignment vertical="center"/>
    </xf>
    <xf numFmtId="0" fontId="5" fillId="20" borderId="0" applyAlignment="1">
      <alignment vertical="center"/>
    </xf>
    <xf numFmtId="0" fontId="10" fillId="0" borderId="0" applyAlignment="1">
      <alignment vertical="center"/>
    </xf>
    <xf numFmtId="0" fontId="13" fillId="0" borderId="0" applyAlignment="1">
      <alignment vertical="center"/>
    </xf>
    <xf numFmtId="0" fontId="8" fillId="0" borderId="0" applyAlignment="1">
      <alignment vertical="center"/>
    </xf>
    <xf numFmtId="0" fontId="7" fillId="0" borderId="0" applyAlignment="1">
      <alignment vertical="center"/>
    </xf>
    <xf numFmtId="0" fontId="15" fillId="0" borderId="10" applyAlignment="1">
      <alignment vertical="center"/>
    </xf>
    <xf numFmtId="0" fontId="16" fillId="0" borderId="10" applyAlignment="1">
      <alignment vertical="center"/>
    </xf>
    <xf numFmtId="0" fontId="5" fillId="11" borderId="0" applyAlignment="1">
      <alignment vertical="center"/>
    </xf>
    <xf numFmtId="0" fontId="10" fillId="0" borderId="12" applyAlignment="1">
      <alignment vertical="center"/>
    </xf>
    <xf numFmtId="0" fontId="5" fillId="10" borderId="0" applyAlignment="1">
      <alignment vertical="center"/>
    </xf>
    <xf numFmtId="0" fontId="18" fillId="21" borderId="13" applyAlignment="1">
      <alignment vertical="center"/>
    </xf>
    <xf numFmtId="0" fontId="20" fillId="21" borderId="7" applyAlignment="1">
      <alignment vertical="center"/>
    </xf>
    <xf numFmtId="0" fontId="21" fillId="23" borderId="14" applyAlignment="1">
      <alignment vertical="center"/>
    </xf>
    <xf numFmtId="0" fontId="4" fillId="9" borderId="0" applyAlignment="1">
      <alignment vertical="center"/>
    </xf>
    <xf numFmtId="0" fontId="5" fillId="6" borderId="0" applyAlignment="1">
      <alignment vertical="center"/>
    </xf>
    <xf numFmtId="0" fontId="9" fillId="0" borderId="9" applyAlignment="1">
      <alignment vertical="center"/>
    </xf>
    <xf numFmtId="0" fontId="17" fillId="0" borderId="11" applyAlignment="1">
      <alignment vertical="center"/>
    </xf>
    <xf numFmtId="0" fontId="22" fillId="24" borderId="0" applyAlignment="1">
      <alignment vertical="center"/>
    </xf>
    <xf numFmtId="0" fontId="19" fillId="22" borderId="0" applyAlignment="1">
      <alignment vertical="center"/>
    </xf>
    <xf numFmtId="0" fontId="4" fillId="17" borderId="0" applyAlignment="1">
      <alignment vertical="center"/>
    </xf>
    <xf numFmtId="0" fontId="5" fillId="26" borderId="0" applyAlignment="1">
      <alignment vertical="center"/>
    </xf>
    <xf numFmtId="0" fontId="4" fillId="28" borderId="0" applyAlignment="1">
      <alignment vertical="center"/>
    </xf>
    <xf numFmtId="0" fontId="4" fillId="32" borderId="0" applyAlignment="1">
      <alignment vertical="center"/>
    </xf>
    <xf numFmtId="0" fontId="4" fillId="16" borderId="0" applyAlignment="1">
      <alignment vertical="center"/>
    </xf>
    <xf numFmtId="0" fontId="4" fillId="34" borderId="0" applyAlignment="1">
      <alignment vertical="center"/>
    </xf>
    <xf numFmtId="0" fontId="5" fillId="31" borderId="0" applyAlignment="1">
      <alignment vertical="center"/>
    </xf>
    <xf numFmtId="0" fontId="5" fillId="25" borderId="0" applyAlignment="1">
      <alignment vertical="center"/>
    </xf>
    <xf numFmtId="0" fontId="4" fillId="27" borderId="0" applyAlignment="1">
      <alignment vertical="center"/>
    </xf>
    <xf numFmtId="0" fontId="4" fillId="30" borderId="0" applyAlignment="1">
      <alignment vertical="center"/>
    </xf>
    <xf numFmtId="0" fontId="5" fillId="5" borderId="0" applyAlignment="1">
      <alignment vertical="center"/>
    </xf>
    <xf numFmtId="0" fontId="4" fillId="33" borderId="0" applyAlignment="1">
      <alignment vertical="center"/>
    </xf>
    <xf numFmtId="0" fontId="5" fillId="19" borderId="0" applyAlignment="1">
      <alignment vertical="center"/>
    </xf>
    <xf numFmtId="0" fontId="5" fillId="29" borderId="0" applyAlignment="1">
      <alignment vertical="center"/>
    </xf>
    <xf numFmtId="0" fontId="4" fillId="4" borderId="0" applyAlignment="1">
      <alignment vertical="center"/>
    </xf>
    <xf numFmtId="0" fontId="5" fillId="15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9" fontId="0" fillId="3" borderId="2" applyAlignment="1" pivotButton="0" quotePrefix="0" xfId="0">
      <alignment horizontal="center" vertical="center"/>
    </xf>
    <xf numFmtId="9" fontId="0" fillId="3" borderId="3" applyAlignment="1" pivotButton="0" quotePrefix="0" xfId="0">
      <alignment horizontal="center" vertical="center"/>
    </xf>
    <xf numFmtId="21" fontId="0" fillId="0" borderId="2" applyAlignment="1" pivotButton="0" quotePrefix="0" xfId="0">
      <alignment horizontal="center" vertical="center" wrapText="1"/>
    </xf>
    <xf numFmtId="21" fontId="0" fillId="0" borderId="3" applyAlignment="1" pivotButton="0" quotePrefix="0" xfId="0">
      <alignment horizontal="center" vertical="center"/>
    </xf>
    <xf numFmtId="9" fontId="0" fillId="0" borderId="4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21" fontId="0" fillId="0" borderId="2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165" fontId="0" fillId="0" borderId="3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/>
    </xf>
    <xf numFmtId="9" fontId="0" fillId="3" borderId="6" applyAlignment="1" pivotButton="0" quotePrefix="0" xfId="0">
      <alignment horizontal="center" vertical="center"/>
    </xf>
    <xf numFmtId="9" fontId="0" fillId="3" borderId="2" applyAlignment="1" pivotButton="0" quotePrefix="0" xfId="0">
      <alignment horizontal="center" vertical="center" wrapText="1"/>
    </xf>
    <xf numFmtId="21" fontId="0" fillId="0" borderId="6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/>
    </xf>
    <xf numFmtId="167" fontId="0" fillId="3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6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 wrapText="1"/>
    </xf>
    <xf numFmtId="10" fontId="0" fillId="0" borderId="2" applyAlignment="1" pivotButton="0" quotePrefix="0" xfId="0">
      <alignment horizontal="center" vertical="center"/>
    </xf>
    <xf numFmtId="10" fontId="0" fillId="3" borderId="2" applyAlignment="1" pivotButton="0" quotePrefix="0" xfId="0">
      <alignment horizontal="center" vertical="center"/>
    </xf>
    <xf numFmtId="168" fontId="0" fillId="0" borderId="2" applyAlignment="1" pivotButton="0" quotePrefix="0" xfId="0">
      <alignment horizontal="center" vertical="center" wrapText="1"/>
    </xf>
    <xf numFmtId="168" fontId="0" fillId="0" borderId="2" applyAlignment="1" pivotButton="0" quotePrefix="0" xfId="0">
      <alignment horizontal="center" vertical="center"/>
    </xf>
    <xf numFmtId="168" fontId="0" fillId="3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21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5" fontId="0" fillId="0" borderId="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5" pivotButton="0" quotePrefix="0" xfId="0"/>
    <xf numFmtId="166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 vertical="center"/>
    </xf>
    <xf numFmtId="168" fontId="0" fillId="0" borderId="2" applyAlignment="1" pivotButton="0" quotePrefix="0" xfId="0">
      <alignment horizontal="center" vertical="center" wrapText="1"/>
    </xf>
    <xf numFmtId="167" fontId="0" fillId="0" borderId="2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/>
    </xf>
    <xf numFmtId="167" fontId="0" fillId="3" borderId="2" applyAlignment="1" pivotButton="0" quotePrefix="0" xfId="0">
      <alignment horizontal="center" vertical="center"/>
    </xf>
    <xf numFmtId="165" fontId="0" fillId="0" borderId="3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 vertical="center"/>
    </xf>
    <xf numFmtId="168" fontId="0" fillId="0" borderId="2" applyAlignment="1" pivotButton="0" quotePrefix="0" xfId="0">
      <alignment horizontal="center" vertical="center"/>
    </xf>
    <xf numFmtId="168" fontId="0" fillId="3" borderId="2" applyAlignment="1" pivotButton="0" quotePrefix="0" xfId="0">
      <alignment horizontal="center" vertical="center"/>
    </xf>
    <xf numFmtId="165" fontId="0" fillId="0" borderId="6" applyAlignment="1" pivotButton="0" quotePrefix="0" xfId="0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Users\Zhuanz\Desktop\\Users\Zhuanz\Desktop\D:\Users\Zhuanz\Desktop\\Volumes\Untitled\PB519&#25968;&#26174;\\\B760B6F1\28&#24230;&#29615;&#22659;IC&#36148;20&#24179;&#26041;&#32447;3.4A&#25918;&#30005;&#28201;&#24230;&#27979;&#35797;&#34920;&#26684;&#33539;&#26412;&#26356;&#26032;2017030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esting Condition"/>
      <sheetName val="Data"/>
      <sheetName val="Curve"/>
      <sheetName val="Refer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9"/>
  <sheetViews>
    <sheetView tabSelected="1" topLeftCell="F91" zoomScale="70" zoomScaleNormal="70" workbookViewId="0">
      <selection activeCell="X102" sqref="X102"/>
    </sheetView>
  </sheetViews>
  <sheetFormatPr baseColWidth="8" defaultColWidth="9.525" defaultRowHeight="13.5"/>
  <cols>
    <col width="9.525" customWidth="1" style="35" min="1" max="11"/>
    <col width="12.6666666666667" customWidth="1" style="36" min="12" max="13"/>
    <col width="9.525" customWidth="1" style="35" min="14" max="25"/>
    <col width="12.1333333333333" customWidth="1" style="35" min="26" max="26"/>
    <col width="12.6666666666667" customWidth="1" style="36" min="27" max="27"/>
    <col width="9.525" customWidth="1" style="35" min="28" max="16384"/>
  </cols>
  <sheetData>
    <row r="1" ht="25.5" customHeight="1" s="35">
      <c r="A1" s="1" t="inlineStr">
        <is>
          <t>数显测试</t>
        </is>
      </c>
      <c r="O1" s="1" t="inlineStr">
        <is>
          <t>数显测试</t>
        </is>
      </c>
    </row>
    <row r="2" ht="25.5" customHeight="1" s="35">
      <c r="A2" s="2" t="inlineStr">
        <is>
          <t xml:space="preserve">PB519  C口  5V充电  1# 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1" t="n"/>
      <c r="O2" s="2" t="inlineStr">
        <is>
          <t xml:space="preserve">PB519  C线  5V充电  2# </t>
        </is>
      </c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1" t="n"/>
    </row>
    <row r="3" ht="27" customHeight="1" s="35">
      <c r="A3" s="3" t="n"/>
      <c r="B3" s="3" t="n">
        <v>0.01</v>
      </c>
      <c r="C3" s="3" t="n">
        <v>0.02</v>
      </c>
      <c r="D3" s="3" t="n">
        <v>0.03</v>
      </c>
      <c r="E3" s="3" t="n">
        <v>0.04</v>
      </c>
      <c r="F3" s="3" t="n">
        <v>0.05</v>
      </c>
      <c r="G3" s="3" t="n">
        <v>0.06</v>
      </c>
      <c r="H3" s="3" t="n">
        <v>0.07000000000000001</v>
      </c>
      <c r="I3" s="3" t="n">
        <v>0.08</v>
      </c>
      <c r="J3" s="3" t="n">
        <v>0.09</v>
      </c>
      <c r="K3" s="3" t="n">
        <v>0.1</v>
      </c>
      <c r="L3" s="3" t="inlineStr">
        <is>
          <t>每10%</t>
        </is>
      </c>
      <c r="M3" s="20" t="inlineStr">
        <is>
          <t>占总时长比
占总容量比</t>
        </is>
      </c>
      <c r="O3" s="3" t="n"/>
      <c r="P3" s="3" t="n">
        <v>0.01</v>
      </c>
      <c r="Q3" s="3" t="n">
        <v>0.02</v>
      </c>
      <c r="R3" s="3" t="n">
        <v>0.03</v>
      </c>
      <c r="S3" s="3" t="n">
        <v>0.04</v>
      </c>
      <c r="T3" s="3" t="n">
        <v>0.05</v>
      </c>
      <c r="U3" s="3" t="n">
        <v>0.06</v>
      </c>
      <c r="V3" s="3" t="n">
        <v>0.07000000000000001</v>
      </c>
      <c r="W3" s="3" t="n">
        <v>0.08</v>
      </c>
      <c r="X3" s="3" t="n">
        <v>0.09</v>
      </c>
      <c r="Y3" s="3" t="n">
        <v>0.1</v>
      </c>
      <c r="Z3" s="3" t="inlineStr">
        <is>
          <t>每10%</t>
        </is>
      </c>
      <c r="AA3" s="20" t="inlineStr">
        <is>
          <t>占总时长比
占总容量比</t>
        </is>
      </c>
    </row>
    <row r="4">
      <c r="A4" s="5" t="inlineStr">
        <is>
          <t>时间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>
        <f>K4-B4</f>
        <v/>
      </c>
      <c r="M4" s="11">
        <f>L4/K31</f>
        <v/>
      </c>
      <c r="O4" s="5" t="inlineStr">
        <is>
          <t>时间</t>
        </is>
      </c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>
        <f>Y4-O3</f>
        <v/>
      </c>
      <c r="AA4" s="30">
        <f>Z4/Y31</f>
        <v/>
      </c>
    </row>
    <row r="5">
      <c r="A5" s="11" t="inlineStr">
        <is>
          <t>容量</t>
        </is>
      </c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42">
        <f>K5-B5</f>
        <v/>
      </c>
      <c r="M5" s="11">
        <f>L5/K32</f>
        <v/>
      </c>
      <c r="O5" s="11" t="inlineStr">
        <is>
          <t>容量</t>
        </is>
      </c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2">
        <f>Y5-P5</f>
        <v/>
      </c>
      <c r="AA5" s="30">
        <f>Z5/$K$32</f>
        <v/>
      </c>
    </row>
    <row r="6">
      <c r="A6" s="3" t="n"/>
      <c r="B6" s="3" t="n">
        <v>0.11</v>
      </c>
      <c r="C6" s="3" t="n">
        <v>0.12</v>
      </c>
      <c r="D6" s="3" t="n">
        <v>0.13</v>
      </c>
      <c r="E6" s="3" t="n">
        <v>0.14</v>
      </c>
      <c r="F6" s="3" t="n">
        <v>0.15</v>
      </c>
      <c r="G6" s="3" t="n">
        <v>0.16</v>
      </c>
      <c r="H6" s="3" t="n">
        <v>0.17</v>
      </c>
      <c r="I6" s="3" t="n">
        <v>0.18</v>
      </c>
      <c r="J6" s="3" t="n">
        <v>0.19</v>
      </c>
      <c r="K6" s="3" t="n">
        <v>0.2</v>
      </c>
      <c r="L6" s="3" t="n"/>
      <c r="M6" s="3" t="n"/>
      <c r="O6" s="3" t="n"/>
      <c r="P6" s="3" t="n">
        <v>0.11</v>
      </c>
      <c r="Q6" s="3" t="n">
        <v>0.12</v>
      </c>
      <c r="R6" s="3" t="n">
        <v>0.13</v>
      </c>
      <c r="S6" s="3" t="n">
        <v>0.14</v>
      </c>
      <c r="T6" s="3" t="n">
        <v>0.15</v>
      </c>
      <c r="U6" s="3" t="n">
        <v>0.16</v>
      </c>
      <c r="V6" s="3" t="n">
        <v>0.17</v>
      </c>
      <c r="W6" s="3" t="n">
        <v>0.18</v>
      </c>
      <c r="X6" s="3" t="n">
        <v>0.19</v>
      </c>
      <c r="Y6" s="3" t="n">
        <v>0.2</v>
      </c>
      <c r="Z6" s="3" t="n"/>
      <c r="AA6" s="31" t="n"/>
    </row>
    <row r="7">
      <c r="A7" s="5" t="inlineStr">
        <is>
          <t>时间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5" t="n"/>
      <c r="L7" s="5">
        <f>K7-K4</f>
        <v/>
      </c>
      <c r="M7" s="11">
        <f>L7/K31</f>
        <v/>
      </c>
      <c r="O7" s="5" t="inlineStr">
        <is>
          <t>时间</t>
        </is>
      </c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5" t="n"/>
      <c r="Z7" s="5">
        <f>Y7-Y4</f>
        <v/>
      </c>
      <c r="AA7" s="29">
        <f>Z7/Y31</f>
        <v/>
      </c>
    </row>
    <row r="8">
      <c r="A8" s="11" t="inlineStr">
        <is>
          <t>容量</t>
        </is>
      </c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42">
        <f>K8-K5</f>
        <v/>
      </c>
      <c r="M8" s="11">
        <f>L8/K32</f>
        <v/>
      </c>
      <c r="O8" s="11" t="inlineStr">
        <is>
          <t>容量</t>
        </is>
      </c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42">
        <f>Y8-Y5</f>
        <v/>
      </c>
      <c r="AA8" s="30">
        <f>Z8/$K$32</f>
        <v/>
      </c>
    </row>
    <row r="9">
      <c r="A9" s="3" t="n"/>
      <c r="B9" s="3" t="n">
        <v>0.21</v>
      </c>
      <c r="C9" s="3" t="n">
        <v>0.22</v>
      </c>
      <c r="D9" s="3" t="n">
        <v>0.23</v>
      </c>
      <c r="E9" s="3" t="n">
        <v>0.24</v>
      </c>
      <c r="F9" s="3" t="n">
        <v>0.25</v>
      </c>
      <c r="G9" s="3" t="n">
        <v>0.26</v>
      </c>
      <c r="H9" s="3" t="n">
        <v>0.27</v>
      </c>
      <c r="I9" s="3" t="n">
        <v>0.28</v>
      </c>
      <c r="J9" s="3" t="n">
        <v>0.29</v>
      </c>
      <c r="K9" s="3" t="n">
        <v>0.3</v>
      </c>
      <c r="L9" s="3" t="n"/>
      <c r="M9" s="3" t="n"/>
      <c r="O9" s="3" t="n"/>
      <c r="P9" s="3" t="n">
        <v>0.21</v>
      </c>
      <c r="Q9" s="3" t="n">
        <v>0.22</v>
      </c>
      <c r="R9" s="3" t="n">
        <v>0.23</v>
      </c>
      <c r="S9" s="3" t="n">
        <v>0.24</v>
      </c>
      <c r="T9" s="3" t="n">
        <v>0.25</v>
      </c>
      <c r="U9" s="3" t="n">
        <v>0.26</v>
      </c>
      <c r="V9" s="3" t="n">
        <v>0.27</v>
      </c>
      <c r="W9" s="3" t="n">
        <v>0.28</v>
      </c>
      <c r="X9" s="3" t="n">
        <v>0.29</v>
      </c>
      <c r="Y9" s="3" t="n">
        <v>0.3</v>
      </c>
      <c r="Z9" s="3" t="n"/>
      <c r="AA9" s="31" t="n"/>
    </row>
    <row r="10">
      <c r="A10" s="5" t="inlineStr">
        <is>
          <t>时间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5" t="n"/>
      <c r="L10" s="5">
        <f>K10-K7</f>
        <v/>
      </c>
      <c r="M10" s="5">
        <f>L10/K31</f>
        <v/>
      </c>
      <c r="O10" s="5" t="inlineStr">
        <is>
          <t>时间</t>
        </is>
      </c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5" t="n"/>
      <c r="Z10" s="5">
        <f>Y10-Y7</f>
        <v/>
      </c>
      <c r="AA10" s="29">
        <f>Z10/Y31</f>
        <v/>
      </c>
    </row>
    <row r="11">
      <c r="A11" s="11" t="inlineStr">
        <is>
          <t>容量</t>
        </is>
      </c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39" t="n"/>
      <c r="L11" s="42">
        <f>K11-K8</f>
        <v/>
      </c>
      <c r="M11" s="11">
        <f>L11/K32</f>
        <v/>
      </c>
      <c r="O11" s="11" t="inlineStr">
        <is>
          <t>容量</t>
        </is>
      </c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42">
        <f>Y11-Y8</f>
        <v/>
      </c>
      <c r="AA11" s="30">
        <f>Z11/$K$32</f>
        <v/>
      </c>
    </row>
    <row r="12">
      <c r="A12" s="3" t="n"/>
      <c r="B12" s="3" t="n">
        <v>0.31</v>
      </c>
      <c r="C12" s="3" t="n">
        <v>0.32</v>
      </c>
      <c r="D12" s="3" t="n">
        <v>0.33</v>
      </c>
      <c r="E12" s="3" t="n">
        <v>0.34</v>
      </c>
      <c r="F12" s="3" t="n">
        <v>0.35</v>
      </c>
      <c r="G12" s="3" t="n">
        <v>0.36</v>
      </c>
      <c r="H12" s="3" t="n">
        <v>0.37</v>
      </c>
      <c r="I12" s="3" t="n">
        <v>0.38</v>
      </c>
      <c r="J12" s="3" t="n">
        <v>0.39</v>
      </c>
      <c r="K12" s="3" t="n">
        <v>0.4</v>
      </c>
      <c r="L12" s="3" t="n"/>
      <c r="M12" s="3" t="n"/>
      <c r="O12" s="3" t="n"/>
      <c r="P12" s="3" t="n">
        <v>0.31</v>
      </c>
      <c r="Q12" s="3" t="n">
        <v>0.32</v>
      </c>
      <c r="R12" s="3" t="n">
        <v>0.33</v>
      </c>
      <c r="S12" s="3" t="n">
        <v>0.34</v>
      </c>
      <c r="T12" s="3" t="n">
        <v>0.35</v>
      </c>
      <c r="U12" s="3" t="n">
        <v>0.36</v>
      </c>
      <c r="V12" s="3" t="n">
        <v>0.37</v>
      </c>
      <c r="W12" s="3" t="n">
        <v>0.38</v>
      </c>
      <c r="X12" s="3" t="n">
        <v>0.39</v>
      </c>
      <c r="Y12" s="3" t="n">
        <v>0.4</v>
      </c>
      <c r="Z12" s="3" t="n"/>
      <c r="AA12" s="31" t="n"/>
    </row>
    <row r="13">
      <c r="A13" s="5" t="inlineStr">
        <is>
          <t>时间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5" t="n"/>
      <c r="L13" s="5">
        <f>K13-K10</f>
        <v/>
      </c>
      <c r="M13" s="11">
        <f>L13/K31</f>
        <v/>
      </c>
      <c r="O13" s="5" t="inlineStr">
        <is>
          <t>时间</t>
        </is>
      </c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5" t="n"/>
      <c r="Z13" s="5">
        <f>Y13-Y10</f>
        <v/>
      </c>
      <c r="AA13" s="29">
        <f>Z13/Y31</f>
        <v/>
      </c>
    </row>
    <row r="14">
      <c r="A14" s="11" t="inlineStr">
        <is>
          <t>容量</t>
        </is>
      </c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39" t="n"/>
      <c r="L14" s="42">
        <f>K14-K11</f>
        <v/>
      </c>
      <c r="M14" s="11">
        <f>L14/K32</f>
        <v/>
      </c>
      <c r="O14" s="11" t="inlineStr">
        <is>
          <t>容量</t>
        </is>
      </c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42">
        <f>Y14-Y11</f>
        <v/>
      </c>
      <c r="AA14" s="30">
        <f>Z14/$K$32</f>
        <v/>
      </c>
    </row>
    <row r="15">
      <c r="A15" s="3" t="n"/>
      <c r="B15" s="3" t="n">
        <v>0.41</v>
      </c>
      <c r="C15" s="3" t="n">
        <v>0.42</v>
      </c>
      <c r="D15" s="3" t="n">
        <v>0.43</v>
      </c>
      <c r="E15" s="3" t="n">
        <v>0.44</v>
      </c>
      <c r="F15" s="3" t="n">
        <v>0.45</v>
      </c>
      <c r="G15" s="3" t="n">
        <v>0.46</v>
      </c>
      <c r="H15" s="3" t="n">
        <v>0.47</v>
      </c>
      <c r="I15" s="3" t="n">
        <v>0.48</v>
      </c>
      <c r="J15" s="3" t="n">
        <v>0.49</v>
      </c>
      <c r="K15" s="3" t="n">
        <v>0.5</v>
      </c>
      <c r="L15" s="3" t="n"/>
      <c r="M15" s="3" t="n"/>
      <c r="O15" s="3" t="n"/>
      <c r="P15" s="3" t="n">
        <v>0.41</v>
      </c>
      <c r="Q15" s="3" t="n">
        <v>0.42</v>
      </c>
      <c r="R15" s="3" t="n">
        <v>0.43</v>
      </c>
      <c r="S15" s="3" t="n">
        <v>0.44</v>
      </c>
      <c r="T15" s="3" t="n">
        <v>0.45</v>
      </c>
      <c r="U15" s="3" t="n">
        <v>0.46</v>
      </c>
      <c r="V15" s="3" t="n">
        <v>0.47</v>
      </c>
      <c r="W15" s="3" t="n">
        <v>0.48</v>
      </c>
      <c r="X15" s="3" t="n">
        <v>0.49</v>
      </c>
      <c r="Y15" s="3" t="n">
        <v>0.5</v>
      </c>
      <c r="Z15" s="3" t="n"/>
      <c r="AA15" s="31" t="n"/>
    </row>
    <row r="16">
      <c r="A16" s="5" t="inlineStr">
        <is>
          <t>时间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5" t="n"/>
      <c r="L16" s="5">
        <f>K16-K13</f>
        <v/>
      </c>
      <c r="M16" s="11">
        <f>L16/K31</f>
        <v/>
      </c>
      <c r="O16" s="5" t="inlineStr">
        <is>
          <t>时间</t>
        </is>
      </c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5" t="n"/>
      <c r="Z16" s="38">
        <f>Y16-Y13</f>
        <v/>
      </c>
      <c r="AA16" s="29">
        <f>Z16/Y31</f>
        <v/>
      </c>
    </row>
    <row r="17">
      <c r="A17" s="11" t="inlineStr">
        <is>
          <t>容量</t>
        </is>
      </c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39" t="n"/>
      <c r="L17" s="42">
        <f>K17-K14</f>
        <v/>
      </c>
      <c r="M17" s="11">
        <f>L17/K32</f>
        <v/>
      </c>
      <c r="O17" s="11" t="inlineStr">
        <is>
          <t>容量</t>
        </is>
      </c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42">
        <f>Y17-Y14</f>
        <v/>
      </c>
      <c r="AA17" s="30">
        <f>Z17/$K$32</f>
        <v/>
      </c>
    </row>
    <row r="18">
      <c r="A18" s="3" t="n"/>
      <c r="B18" s="3" t="n">
        <v>0.51</v>
      </c>
      <c r="C18" s="3" t="n">
        <v>0.52</v>
      </c>
      <c r="D18" s="3" t="n">
        <v>0.53</v>
      </c>
      <c r="E18" s="3" t="n">
        <v>0.54</v>
      </c>
      <c r="F18" s="3" t="n">
        <v>0.55</v>
      </c>
      <c r="G18" s="3" t="n">
        <v>0.5600000000000001</v>
      </c>
      <c r="H18" s="3" t="n">
        <v>0.57</v>
      </c>
      <c r="I18" s="3" t="n">
        <v>0.58</v>
      </c>
      <c r="J18" s="3" t="n">
        <v>0.59</v>
      </c>
      <c r="K18" s="3" t="n">
        <v>0.6</v>
      </c>
      <c r="L18" s="3" t="n"/>
      <c r="M18" s="3" t="n"/>
      <c r="O18" s="3" t="n"/>
      <c r="P18" s="3" t="n">
        <v>0.51</v>
      </c>
      <c r="Q18" s="3" t="n">
        <v>0.52</v>
      </c>
      <c r="R18" s="3" t="n">
        <v>0.53</v>
      </c>
      <c r="S18" s="3" t="n">
        <v>0.54</v>
      </c>
      <c r="T18" s="3" t="n">
        <v>0.55</v>
      </c>
      <c r="U18" s="3" t="n">
        <v>0.5600000000000001</v>
      </c>
      <c r="V18" s="3" t="n">
        <v>0.57</v>
      </c>
      <c r="W18" s="3" t="n">
        <v>0.58</v>
      </c>
      <c r="X18" s="3" t="n">
        <v>0.59</v>
      </c>
      <c r="Y18" s="3" t="n">
        <v>0.6</v>
      </c>
      <c r="Z18" s="3" t="n"/>
      <c r="AA18" s="31" t="n"/>
    </row>
    <row r="19">
      <c r="A19" s="5" t="inlineStr">
        <is>
          <t>时间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5" t="n"/>
      <c r="L19" s="5">
        <f>K19-K16</f>
        <v/>
      </c>
      <c r="M19" s="11">
        <f>L19/K31</f>
        <v/>
      </c>
      <c r="O19" s="5" t="inlineStr">
        <is>
          <t>时间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5" t="n"/>
      <c r="Z19" s="38">
        <f>Y19-Y16</f>
        <v/>
      </c>
      <c r="AA19" s="29">
        <f>Z19/Y31</f>
        <v/>
      </c>
    </row>
    <row r="20">
      <c r="A20" s="11" t="inlineStr">
        <is>
          <t>容量</t>
        </is>
      </c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39" t="n"/>
      <c r="L20" s="42">
        <f>K20-K17</f>
        <v/>
      </c>
      <c r="M20" s="11">
        <f>L20/K32</f>
        <v/>
      </c>
      <c r="O20" s="11" t="inlineStr">
        <is>
          <t>容量</t>
        </is>
      </c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42">
        <f>Y20-Y17</f>
        <v/>
      </c>
      <c r="AA20" s="30">
        <f>Z20/$K$32</f>
        <v/>
      </c>
    </row>
    <row r="21">
      <c r="A21" s="3" t="n"/>
      <c r="B21" s="3" t="n">
        <v>0.61</v>
      </c>
      <c r="C21" s="3" t="n">
        <v>0.62</v>
      </c>
      <c r="D21" s="3" t="n">
        <v>0.63</v>
      </c>
      <c r="E21" s="3" t="n">
        <v>0.64</v>
      </c>
      <c r="F21" s="3" t="n">
        <v>0.65</v>
      </c>
      <c r="G21" s="3" t="n">
        <v>0.66</v>
      </c>
      <c r="H21" s="3" t="n">
        <v>0.67</v>
      </c>
      <c r="I21" s="3" t="n">
        <v>0.68</v>
      </c>
      <c r="J21" s="3" t="n">
        <v>0.6899999999999999</v>
      </c>
      <c r="K21" s="3" t="n">
        <v>0.7</v>
      </c>
      <c r="L21" s="3" t="n"/>
      <c r="M21" s="3" t="n"/>
      <c r="O21" s="3" t="n"/>
      <c r="P21" s="3" t="n">
        <v>0.61</v>
      </c>
      <c r="Q21" s="3" t="n">
        <v>0.62</v>
      </c>
      <c r="R21" s="3" t="n">
        <v>0.63</v>
      </c>
      <c r="S21" s="3" t="n">
        <v>0.64</v>
      </c>
      <c r="T21" s="3" t="n">
        <v>0.65</v>
      </c>
      <c r="U21" s="3" t="n">
        <v>0.66</v>
      </c>
      <c r="V21" s="3" t="n">
        <v>0.67</v>
      </c>
      <c r="W21" s="3" t="n">
        <v>0.68</v>
      </c>
      <c r="X21" s="3" t="n">
        <v>0.6899999999999999</v>
      </c>
      <c r="Y21" s="3" t="n">
        <v>0.7</v>
      </c>
      <c r="Z21" s="3" t="n"/>
      <c r="AA21" s="31" t="n"/>
    </row>
    <row r="22">
      <c r="A22" s="5" t="inlineStr">
        <is>
          <t>时间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5" t="n"/>
      <c r="L22" s="5">
        <f>K22-K19</f>
        <v/>
      </c>
      <c r="M22" s="11">
        <f>L22/K31</f>
        <v/>
      </c>
      <c r="O22" s="5" t="inlineStr">
        <is>
          <t>时间</t>
        </is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5" t="n"/>
      <c r="Z22" s="38">
        <f>Y22-Y19</f>
        <v/>
      </c>
      <c r="AA22" s="29">
        <f>Z22/Y31</f>
        <v/>
      </c>
    </row>
    <row r="23">
      <c r="A23" s="11" t="inlineStr">
        <is>
          <t>容量</t>
        </is>
      </c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39" t="n"/>
      <c r="L23" s="42">
        <f>K23-K20</f>
        <v/>
      </c>
      <c r="M23" s="11">
        <f>L23/K32</f>
        <v/>
      </c>
      <c r="O23" s="11" t="inlineStr">
        <is>
          <t>容量</t>
        </is>
      </c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42">
        <f>Y23-Y20</f>
        <v/>
      </c>
      <c r="AA23" s="30">
        <f>Z23/$K$32</f>
        <v/>
      </c>
    </row>
    <row r="24">
      <c r="A24" s="3" t="n"/>
      <c r="B24" s="3" t="n">
        <v>0.71</v>
      </c>
      <c r="C24" s="3" t="n">
        <v>0.72</v>
      </c>
      <c r="D24" s="3" t="n">
        <v>0.73</v>
      </c>
      <c r="E24" s="3" t="n">
        <v>0.74</v>
      </c>
      <c r="F24" s="3" t="n">
        <v>0.75</v>
      </c>
      <c r="G24" s="3" t="n">
        <v>0.76</v>
      </c>
      <c r="H24" s="3" t="n">
        <v>0.77</v>
      </c>
      <c r="I24" s="3" t="n">
        <v>0.78</v>
      </c>
      <c r="J24" s="3" t="n">
        <v>0.79</v>
      </c>
      <c r="K24" s="3" t="n">
        <v>0.8</v>
      </c>
      <c r="L24" s="3" t="n"/>
      <c r="M24" s="3" t="n"/>
      <c r="O24" s="3" t="n"/>
      <c r="P24" s="3" t="n">
        <v>0.71</v>
      </c>
      <c r="Q24" s="3" t="n">
        <v>0.72</v>
      </c>
      <c r="R24" s="3" t="n">
        <v>0.73</v>
      </c>
      <c r="S24" s="3" t="n">
        <v>0.74</v>
      </c>
      <c r="T24" s="3" t="n">
        <v>0.75</v>
      </c>
      <c r="U24" s="3" t="n">
        <v>0.76</v>
      </c>
      <c r="V24" s="3" t="n">
        <v>0.77</v>
      </c>
      <c r="W24" s="3" t="n">
        <v>0.78</v>
      </c>
      <c r="X24" s="3" t="n">
        <v>0.79</v>
      </c>
      <c r="Y24" s="3" t="n">
        <v>0.8</v>
      </c>
      <c r="Z24" s="3" t="n"/>
      <c r="AA24" s="31" t="n"/>
    </row>
    <row r="25">
      <c r="A25" s="5" t="inlineStr">
        <is>
          <t>时间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5" t="n"/>
      <c r="L25" s="5">
        <f>K25-K22</f>
        <v/>
      </c>
      <c r="M25" s="29">
        <f>L25/K31</f>
        <v/>
      </c>
      <c r="O25" s="5" t="inlineStr">
        <is>
          <t>时间</t>
        </is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5" t="n"/>
      <c r="Z25" s="38">
        <f>Y25-Y22</f>
        <v/>
      </c>
      <c r="AA25" s="29">
        <f>Z25/Y31</f>
        <v/>
      </c>
    </row>
    <row r="26">
      <c r="A26" s="11" t="inlineStr">
        <is>
          <t>容量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39" t="n"/>
      <c r="L26" s="42">
        <f>K26-K23</f>
        <v/>
      </c>
      <c r="M26" s="11">
        <f>L26/K32</f>
        <v/>
      </c>
      <c r="O26" s="11" t="inlineStr">
        <is>
          <t>容量</t>
        </is>
      </c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42">
        <f>Y26-Y23</f>
        <v/>
      </c>
      <c r="AA26" s="30">
        <f>Z26/$K$32</f>
        <v/>
      </c>
    </row>
    <row r="27">
      <c r="A27" s="3" t="n"/>
      <c r="B27" s="3" t="n">
        <v>0.8100000000000001</v>
      </c>
      <c r="C27" s="3" t="n">
        <v>0.82</v>
      </c>
      <c r="D27" s="3" t="n">
        <v>0.83</v>
      </c>
      <c r="E27" s="3" t="n">
        <v>0.84</v>
      </c>
      <c r="F27" s="3" t="n">
        <v>0.85</v>
      </c>
      <c r="G27" s="3" t="n">
        <v>0.86</v>
      </c>
      <c r="H27" s="3" t="n">
        <v>0.87</v>
      </c>
      <c r="I27" s="3" t="n">
        <v>0.88</v>
      </c>
      <c r="J27" s="3" t="n">
        <v>0.89</v>
      </c>
      <c r="K27" s="3" t="n">
        <v>0.9</v>
      </c>
      <c r="L27" s="3" t="n"/>
      <c r="M27" s="3" t="n"/>
      <c r="O27" s="3" t="n"/>
      <c r="P27" s="3" t="n">
        <v>0.8100000000000001</v>
      </c>
      <c r="Q27" s="3" t="n">
        <v>0.82</v>
      </c>
      <c r="R27" s="3" t="n">
        <v>0.83</v>
      </c>
      <c r="S27" s="3" t="n">
        <v>0.84</v>
      </c>
      <c r="T27" s="3" t="n">
        <v>0.85</v>
      </c>
      <c r="U27" s="3" t="n">
        <v>0.86</v>
      </c>
      <c r="V27" s="3" t="n">
        <v>0.87</v>
      </c>
      <c r="W27" s="3" t="n">
        <v>0.88</v>
      </c>
      <c r="X27" s="3" t="n">
        <v>0.89</v>
      </c>
      <c r="Y27" s="3" t="n">
        <v>0.9</v>
      </c>
      <c r="Z27" s="3" t="n"/>
      <c r="AA27" s="31" t="n"/>
    </row>
    <row r="28">
      <c r="A28" s="5" t="inlineStr">
        <is>
          <t>时间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5" t="n"/>
      <c r="L28" s="5">
        <f>K28-K25</f>
        <v/>
      </c>
      <c r="M28" s="29">
        <f>L28/K31</f>
        <v/>
      </c>
      <c r="O28" s="5" t="inlineStr">
        <is>
          <t>时间</t>
        </is>
      </c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5" t="n"/>
      <c r="Z28" s="38">
        <f>Y28-Y25</f>
        <v/>
      </c>
      <c r="AA28" s="29">
        <f>Z28/Y31</f>
        <v/>
      </c>
    </row>
    <row r="29">
      <c r="A29" s="11" t="inlineStr">
        <is>
          <t>容量</t>
        </is>
      </c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39" t="n"/>
      <c r="L29" s="42">
        <f>K29-K26</f>
        <v/>
      </c>
      <c r="M29" s="11">
        <f>L29/K32</f>
        <v/>
      </c>
      <c r="O29" s="11" t="inlineStr">
        <is>
          <t>容量</t>
        </is>
      </c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42">
        <f>Y29-Y26</f>
        <v/>
      </c>
      <c r="AA29" s="30">
        <f>Z29/$K$32</f>
        <v/>
      </c>
    </row>
    <row r="30">
      <c r="A30" s="3" t="n"/>
      <c r="B30" s="3" t="n">
        <v>0.91</v>
      </c>
      <c r="C30" s="3" t="n">
        <v>0.92</v>
      </c>
      <c r="D30" s="3" t="n">
        <v>0.93</v>
      </c>
      <c r="E30" s="3" t="n">
        <v>0.9399999999999999</v>
      </c>
      <c r="F30" s="3" t="n">
        <v>0.95</v>
      </c>
      <c r="G30" s="3" t="n">
        <v>0.96</v>
      </c>
      <c r="H30" s="3" t="n">
        <v>0.97</v>
      </c>
      <c r="I30" s="3" t="n">
        <v>0.98</v>
      </c>
      <c r="J30" s="3" t="n">
        <v>0.99</v>
      </c>
      <c r="K30" s="3" t="n">
        <v>1</v>
      </c>
      <c r="L30" s="3" t="n"/>
      <c r="M30" s="3" t="n"/>
      <c r="O30" s="3" t="n"/>
      <c r="P30" s="3" t="n">
        <v>0.91</v>
      </c>
      <c r="Q30" s="3" t="n">
        <v>0.92</v>
      </c>
      <c r="R30" s="3" t="n">
        <v>0.93</v>
      </c>
      <c r="S30" s="3" t="n">
        <v>0.9399999999999999</v>
      </c>
      <c r="T30" s="3" t="n">
        <v>0.95</v>
      </c>
      <c r="U30" s="3" t="n">
        <v>0.96</v>
      </c>
      <c r="V30" s="3" t="n">
        <v>0.97</v>
      </c>
      <c r="W30" s="3" t="n">
        <v>0.98</v>
      </c>
      <c r="X30" s="3" t="n">
        <v>0.99</v>
      </c>
      <c r="Y30" s="3" t="n">
        <v>1</v>
      </c>
      <c r="Z30" s="3" t="n"/>
      <c r="AA30" s="31" t="n"/>
    </row>
    <row r="31">
      <c r="A31" s="5" t="inlineStr">
        <is>
          <t>时间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>
        <f>K31-K28</f>
        <v/>
      </c>
      <c r="M31" s="11">
        <f>L31/K31</f>
        <v/>
      </c>
      <c r="O31" s="5" t="inlineStr">
        <is>
          <t>时间</t>
        </is>
      </c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38">
        <f>Y31-Y28</f>
        <v/>
      </c>
      <c r="AA31" s="29">
        <f>Z31/Y31</f>
        <v/>
      </c>
    </row>
    <row r="32">
      <c r="A32" s="11" t="inlineStr">
        <is>
          <t>容量</t>
        </is>
      </c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42">
        <f>K32-K29</f>
        <v/>
      </c>
      <c r="M32" s="11">
        <f>L32/K32</f>
        <v/>
      </c>
      <c r="O32" s="11" t="inlineStr">
        <is>
          <t>容量</t>
        </is>
      </c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42">
        <f>Y32-Y29</f>
        <v/>
      </c>
      <c r="AA32" s="30">
        <f>Z32/$K$32</f>
        <v/>
      </c>
    </row>
    <row r="33" ht="14.25" customHeight="1" s="35">
      <c r="A33" s="15" t="inlineStr">
        <is>
          <t>容量</t>
        </is>
      </c>
      <c r="B33" s="16" t="n"/>
      <c r="C33" s="43" t="n"/>
      <c r="D33" s="43" t="n"/>
      <c r="E33" s="44" t="n"/>
      <c r="F33" s="15" t="inlineStr">
        <is>
          <t>能量</t>
        </is>
      </c>
      <c r="G33" s="45" t="n"/>
      <c r="H33" s="43" t="n"/>
      <c r="I33" s="43" t="n"/>
      <c r="J33" s="44" t="n"/>
      <c r="K33" s="15" t="n"/>
      <c r="L33" s="18" t="n"/>
      <c r="M33" s="44" t="n"/>
      <c r="O33" s="15" t="inlineStr">
        <is>
          <t>容量</t>
        </is>
      </c>
      <c r="P33" s="16" t="n"/>
      <c r="Q33" s="43" t="n"/>
      <c r="R33" s="43" t="n"/>
      <c r="S33" s="44" t="n"/>
      <c r="T33" s="15" t="inlineStr">
        <is>
          <t>能量</t>
        </is>
      </c>
      <c r="U33" s="45" t="n"/>
      <c r="V33" s="43" t="n"/>
      <c r="W33" s="43" t="n"/>
      <c r="X33" s="44" t="n"/>
      <c r="Y33" s="15" t="n"/>
      <c r="Z33" s="18" t="n"/>
      <c r="AA33" s="44" t="n"/>
    </row>
    <row r="34" ht="241.05" customHeight="1" s="35">
      <c r="A34" s="18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4" t="n"/>
      <c r="O34" s="18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  <c r="AA34" s="44" t="n"/>
    </row>
    <row r="35"/>
    <row r="36" ht="25.5" customHeight="1" s="35">
      <c r="A36" s="1" t="inlineStr">
        <is>
          <t>数显测试</t>
        </is>
      </c>
      <c r="O36" s="1" t="inlineStr">
        <is>
          <t>数显测试</t>
        </is>
      </c>
    </row>
    <row r="37" ht="25.5" customHeight="1" s="35">
      <c r="A37" s="2" t="inlineStr">
        <is>
          <t xml:space="preserve">PB519  C口  9V充电  1# </t>
        </is>
      </c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1" t="n"/>
      <c r="O37" s="2" t="inlineStr">
        <is>
          <t xml:space="preserve">PB519  C线  9V充电  2# </t>
        </is>
      </c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1" t="n"/>
    </row>
    <row r="38" ht="27" customHeight="1" s="35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inlineStr">
        <is>
          <t>每10%</t>
        </is>
      </c>
      <c r="M38" s="20" t="inlineStr">
        <is>
          <t>占总时长比
占总容量比</t>
        </is>
      </c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inlineStr">
        <is>
          <t>每10%</t>
        </is>
      </c>
      <c r="AA38" s="20" t="inlineStr">
        <is>
          <t>占总时长比
占总容量比</t>
        </is>
      </c>
    </row>
    <row r="39">
      <c r="A39" s="5" t="inlineStr">
        <is>
          <t>时间</t>
        </is>
      </c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5">
        <f>K39-B39</f>
        <v/>
      </c>
      <c r="M39" s="29">
        <f>L39/K66</f>
        <v/>
      </c>
      <c r="O39" s="5" t="inlineStr">
        <is>
          <t>时间</t>
        </is>
      </c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5">
        <f>Y39-P39</f>
        <v/>
      </c>
      <c r="AA39" s="29">
        <f>Z39/Y66</f>
        <v/>
      </c>
    </row>
    <row r="40">
      <c r="A40" s="11" t="inlineStr">
        <is>
          <t>容量</t>
        </is>
      </c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>
        <f>K40-B40</f>
        <v/>
      </c>
      <c r="M40" s="30">
        <f>L40/K67</f>
        <v/>
      </c>
      <c r="O40" s="11" t="inlineStr">
        <is>
          <t>容量</t>
        </is>
      </c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>
        <f>Y40-P40</f>
        <v/>
      </c>
      <c r="AA40" s="30">
        <f>Z40/Y67</f>
        <v/>
      </c>
    </row>
    <row r="41">
      <c r="A41" s="3" t="n"/>
      <c r="B41" s="3" t="n">
        <v>0.11</v>
      </c>
      <c r="C41" s="3" t="n">
        <v>0.12</v>
      </c>
      <c r="D41" s="3" t="n">
        <v>0.13</v>
      </c>
      <c r="E41" s="3" t="n">
        <v>0.14</v>
      </c>
      <c r="F41" s="3" t="n">
        <v>0.15</v>
      </c>
      <c r="G41" s="3" t="n">
        <v>0.16</v>
      </c>
      <c r="H41" s="3" t="n">
        <v>0.17</v>
      </c>
      <c r="I41" s="3" t="n">
        <v>0.18</v>
      </c>
      <c r="J41" s="3" t="n">
        <v>0.19</v>
      </c>
      <c r="K41" s="3" t="n"/>
      <c r="L41" s="3" t="n"/>
      <c r="M41" s="31" t="n"/>
      <c r="O41" s="3" t="n"/>
      <c r="P41" s="3" t="n">
        <v>0.11</v>
      </c>
      <c r="Q41" s="3" t="n">
        <v>0.12</v>
      </c>
      <c r="R41" s="3" t="n">
        <v>0.13</v>
      </c>
      <c r="S41" s="3" t="n">
        <v>0.14</v>
      </c>
      <c r="T41" s="3" t="n">
        <v>0.15</v>
      </c>
      <c r="U41" s="3" t="n">
        <v>0.16</v>
      </c>
      <c r="V41" s="3" t="n">
        <v>0.17</v>
      </c>
      <c r="W41" s="3" t="n">
        <v>0.18</v>
      </c>
      <c r="X41" s="3" t="n">
        <v>0.19</v>
      </c>
      <c r="Y41" s="3" t="n"/>
      <c r="Z41" s="3" t="n"/>
      <c r="AA41" s="31" t="n"/>
    </row>
    <row r="42">
      <c r="A42" s="5" t="inlineStr">
        <is>
          <t>时间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38" t="n"/>
      <c r="L42" s="5">
        <f>K42-K39</f>
        <v/>
      </c>
      <c r="M42" s="29">
        <f>L42/K66</f>
        <v/>
      </c>
      <c r="O42" s="5" t="inlineStr">
        <is>
          <t>时间</t>
        </is>
      </c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38" t="n"/>
      <c r="Z42" s="5">
        <f>Y42-Y39</f>
        <v/>
      </c>
      <c r="AA42" s="29">
        <f>Z42/Y66</f>
        <v/>
      </c>
    </row>
    <row r="43">
      <c r="A43" s="11" t="inlineStr">
        <is>
          <t>容量</t>
        </is>
      </c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>
        <f>K43-K40</f>
        <v/>
      </c>
      <c r="M43" s="30">
        <f>L43/K67</f>
        <v/>
      </c>
      <c r="O43" s="11" t="inlineStr">
        <is>
          <t>容量</t>
        </is>
      </c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6" t="n"/>
      <c r="Z43" s="46">
        <f>Y43-Y40</f>
        <v/>
      </c>
      <c r="AA43" s="30">
        <f>Z43/Y67</f>
        <v/>
      </c>
    </row>
    <row r="44">
      <c r="A44" s="3" t="n"/>
      <c r="B44" s="3" t="n">
        <v>0.21</v>
      </c>
      <c r="C44" s="3" t="n">
        <v>0.22</v>
      </c>
      <c r="D44" s="3" t="n">
        <v>0.23</v>
      </c>
      <c r="E44" s="3" t="n">
        <v>0.24</v>
      </c>
      <c r="F44" s="3" t="n">
        <v>0.25</v>
      </c>
      <c r="G44" s="3" t="n">
        <v>0.26</v>
      </c>
      <c r="H44" s="3" t="n">
        <v>0.27</v>
      </c>
      <c r="I44" s="3" t="n">
        <v>0.28</v>
      </c>
      <c r="J44" s="3" t="n">
        <v>0.29</v>
      </c>
      <c r="K44" s="3" t="n"/>
      <c r="L44" s="3" t="n"/>
      <c r="M44" s="31" t="n"/>
      <c r="O44" s="3" t="n"/>
      <c r="P44" s="3" t="n">
        <v>0.21</v>
      </c>
      <c r="Q44" s="3" t="n">
        <v>0.22</v>
      </c>
      <c r="R44" s="3" t="n">
        <v>0.23</v>
      </c>
      <c r="S44" s="3" t="n">
        <v>0.24</v>
      </c>
      <c r="T44" s="3" t="n">
        <v>0.25</v>
      </c>
      <c r="U44" s="3" t="n">
        <v>0.26</v>
      </c>
      <c r="V44" s="3" t="n">
        <v>0.27</v>
      </c>
      <c r="W44" s="3" t="n">
        <v>0.28</v>
      </c>
      <c r="X44" s="3" t="n">
        <v>0.29</v>
      </c>
      <c r="Y44" s="3" t="n"/>
      <c r="Z44" s="3" t="n"/>
      <c r="AA44" s="31" t="n"/>
    </row>
    <row r="45">
      <c r="A45" s="5" t="inlineStr">
        <is>
          <t>时间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38" t="n"/>
      <c r="L45" s="5">
        <f>K45-K42</f>
        <v/>
      </c>
      <c r="M45" s="29">
        <f>L45/K66</f>
        <v/>
      </c>
      <c r="O45" s="5" t="inlineStr">
        <is>
          <t>时间</t>
        </is>
      </c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38" t="n"/>
      <c r="Z45" s="5">
        <f>Y45-Y42</f>
        <v/>
      </c>
      <c r="AA45" s="29">
        <f>Z45/Y66</f>
        <v/>
      </c>
    </row>
    <row r="46">
      <c r="A46" s="11" t="inlineStr">
        <is>
          <t>容量</t>
        </is>
      </c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>
        <f>K46-K43</f>
        <v/>
      </c>
      <c r="M46" s="30">
        <f>L46/K67</f>
        <v/>
      </c>
      <c r="O46" s="11" t="inlineStr">
        <is>
          <t>容量</t>
        </is>
      </c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6" t="n"/>
      <c r="Z46" s="46">
        <f>Y46-Y43</f>
        <v/>
      </c>
      <c r="AA46" s="30">
        <f>Z46/Y67</f>
        <v/>
      </c>
    </row>
    <row r="47">
      <c r="A47" s="3" t="n"/>
      <c r="B47" s="3" t="n">
        <v>0.31</v>
      </c>
      <c r="C47" s="3" t="n">
        <v>0.32</v>
      </c>
      <c r="D47" s="3" t="n">
        <v>0.33</v>
      </c>
      <c r="E47" s="3" t="n">
        <v>0.34</v>
      </c>
      <c r="F47" s="3" t="n">
        <v>0.35</v>
      </c>
      <c r="G47" s="3" t="n">
        <v>0.36</v>
      </c>
      <c r="H47" s="3" t="n">
        <v>0.37</v>
      </c>
      <c r="I47" s="3" t="n">
        <v>0.38</v>
      </c>
      <c r="J47" s="3" t="n">
        <v>0.39</v>
      </c>
      <c r="K47" s="3" t="n"/>
      <c r="L47" s="3" t="n"/>
      <c r="M47" s="31" t="n"/>
      <c r="O47" s="3" t="n"/>
      <c r="P47" s="3" t="n">
        <v>0.31</v>
      </c>
      <c r="Q47" s="3" t="n">
        <v>0.32</v>
      </c>
      <c r="R47" s="3" t="n">
        <v>0.33</v>
      </c>
      <c r="S47" s="3" t="n">
        <v>0.34</v>
      </c>
      <c r="T47" s="3" t="n">
        <v>0.35</v>
      </c>
      <c r="U47" s="3" t="n">
        <v>0.36</v>
      </c>
      <c r="V47" s="3" t="n">
        <v>0.37</v>
      </c>
      <c r="W47" s="3" t="n">
        <v>0.38</v>
      </c>
      <c r="X47" s="3" t="n">
        <v>0.39</v>
      </c>
      <c r="Y47" s="3" t="n"/>
      <c r="Z47" s="3" t="n"/>
      <c r="AA47" s="31" t="n"/>
    </row>
    <row r="48">
      <c r="A48" s="5" t="inlineStr">
        <is>
          <t>时间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38" t="n"/>
      <c r="L48" s="5">
        <f>K48-K45</f>
        <v/>
      </c>
      <c r="M48" s="29">
        <f>L48/K66</f>
        <v/>
      </c>
      <c r="O48" s="5" t="inlineStr">
        <is>
          <t>时间</t>
        </is>
      </c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38" t="n"/>
      <c r="Z48" s="5">
        <f>Y48-Y45</f>
        <v/>
      </c>
      <c r="AA48" s="29">
        <f>Z48/Y66</f>
        <v/>
      </c>
    </row>
    <row r="49">
      <c r="A49" s="11" t="inlineStr">
        <is>
          <t>容量</t>
        </is>
      </c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>
        <f>K49-K46</f>
        <v/>
      </c>
      <c r="M49" s="30">
        <f>L49/K67</f>
        <v/>
      </c>
      <c r="O49" s="11" t="inlineStr">
        <is>
          <t>容量</t>
        </is>
      </c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6" t="n"/>
      <c r="Z49" s="46">
        <f>Y49-Y46</f>
        <v/>
      </c>
      <c r="AA49" s="30">
        <f>Z49/Y67</f>
        <v/>
      </c>
    </row>
    <row r="50">
      <c r="A50" s="3" t="n"/>
      <c r="B50" s="3" t="n">
        <v>0.41</v>
      </c>
      <c r="C50" s="3" t="n">
        <v>0.42</v>
      </c>
      <c r="D50" s="3" t="n">
        <v>0.43</v>
      </c>
      <c r="E50" s="3" t="n">
        <v>0.44</v>
      </c>
      <c r="F50" s="3" t="n">
        <v>0.45</v>
      </c>
      <c r="G50" s="3" t="n">
        <v>0.46</v>
      </c>
      <c r="H50" s="3" t="n">
        <v>0.47</v>
      </c>
      <c r="I50" s="3" t="n">
        <v>0.48</v>
      </c>
      <c r="J50" s="3" t="n">
        <v>0.49</v>
      </c>
      <c r="K50" s="3" t="n"/>
      <c r="L50" s="3" t="n"/>
      <c r="M50" s="31" t="n"/>
      <c r="O50" s="3" t="n"/>
      <c r="P50" s="3" t="n">
        <v>0.41</v>
      </c>
      <c r="Q50" s="3" t="n">
        <v>0.42</v>
      </c>
      <c r="R50" s="3" t="n">
        <v>0.43</v>
      </c>
      <c r="S50" s="3" t="n">
        <v>0.44</v>
      </c>
      <c r="T50" s="3" t="n">
        <v>0.45</v>
      </c>
      <c r="U50" s="3" t="n">
        <v>0.46</v>
      </c>
      <c r="V50" s="3" t="n">
        <v>0.47</v>
      </c>
      <c r="W50" s="3" t="n">
        <v>0.48</v>
      </c>
      <c r="X50" s="3" t="n">
        <v>0.49</v>
      </c>
      <c r="Y50" s="3" t="n"/>
      <c r="Z50" s="3" t="n"/>
      <c r="AA50" s="31" t="n"/>
    </row>
    <row r="51">
      <c r="A51" s="5" t="inlineStr">
        <is>
          <t>时间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38" t="n"/>
      <c r="L51" s="5">
        <f>K51-K48</f>
        <v/>
      </c>
      <c r="M51" s="29">
        <f>L51/K66</f>
        <v/>
      </c>
      <c r="O51" s="5" t="inlineStr">
        <is>
          <t>时间</t>
        </is>
      </c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38" t="n"/>
      <c r="Z51" s="5">
        <f>Y51-Y48</f>
        <v/>
      </c>
      <c r="AA51" s="29">
        <f>Z51/Y66</f>
        <v/>
      </c>
    </row>
    <row r="52">
      <c r="A52" s="11" t="inlineStr">
        <is>
          <t>容量</t>
        </is>
      </c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>
        <f>K52-K49</f>
        <v/>
      </c>
      <c r="M52" s="30">
        <f>L52/K67</f>
        <v/>
      </c>
      <c r="O52" s="11" t="inlineStr">
        <is>
          <t>容量</t>
        </is>
      </c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6" t="n"/>
      <c r="Z52" s="46">
        <f>Y52-Y49</f>
        <v/>
      </c>
      <c r="AA52" s="30">
        <f>Z52/Y67</f>
        <v/>
      </c>
    </row>
    <row r="53">
      <c r="A53" s="3" t="n"/>
      <c r="B53" s="3" t="n">
        <v>0.51</v>
      </c>
      <c r="C53" s="3" t="n">
        <v>0.52</v>
      </c>
      <c r="D53" s="3" t="n">
        <v>0.53</v>
      </c>
      <c r="E53" s="3" t="n">
        <v>0.54</v>
      </c>
      <c r="F53" s="3" t="n">
        <v>0.55</v>
      </c>
      <c r="G53" s="3" t="n">
        <v>0.5600000000000001</v>
      </c>
      <c r="H53" s="3" t="n">
        <v>0.57</v>
      </c>
      <c r="I53" s="3" t="n">
        <v>0.58</v>
      </c>
      <c r="J53" s="3" t="n">
        <v>0.59</v>
      </c>
      <c r="K53" s="3" t="n"/>
      <c r="L53" s="3" t="n"/>
      <c r="M53" s="31" t="n"/>
      <c r="O53" s="3" t="n"/>
      <c r="P53" s="3" t="n">
        <v>0.51</v>
      </c>
      <c r="Q53" s="3" t="n">
        <v>0.52</v>
      </c>
      <c r="R53" s="3" t="n">
        <v>0.53</v>
      </c>
      <c r="S53" s="3" t="n">
        <v>0.54</v>
      </c>
      <c r="T53" s="3" t="n">
        <v>0.55</v>
      </c>
      <c r="U53" s="3" t="n">
        <v>0.5600000000000001</v>
      </c>
      <c r="V53" s="3" t="n">
        <v>0.57</v>
      </c>
      <c r="W53" s="3" t="n">
        <v>0.58</v>
      </c>
      <c r="X53" s="3" t="n">
        <v>0.59</v>
      </c>
      <c r="Y53" s="3" t="n"/>
      <c r="Z53" s="3" t="n"/>
      <c r="AA53" s="31" t="n"/>
    </row>
    <row r="54">
      <c r="A54" s="5" t="inlineStr">
        <is>
          <t>时间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38" t="n"/>
      <c r="L54" s="5">
        <f>K54-K51</f>
        <v/>
      </c>
      <c r="M54" s="29">
        <f>L54/K66</f>
        <v/>
      </c>
      <c r="O54" s="5" t="inlineStr">
        <is>
          <t>时间</t>
        </is>
      </c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38" t="n"/>
      <c r="Z54" s="5">
        <f>Y54-Y51</f>
        <v/>
      </c>
      <c r="AA54" s="29">
        <f>Z54/Y66</f>
        <v/>
      </c>
    </row>
    <row r="55">
      <c r="A55" s="11" t="inlineStr">
        <is>
          <t>容量</t>
        </is>
      </c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>
        <f>K55-K52</f>
        <v/>
      </c>
      <c r="M55" s="30">
        <f>L55/K67</f>
        <v/>
      </c>
      <c r="O55" s="11" t="inlineStr">
        <is>
          <t>容量</t>
        </is>
      </c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6" t="n"/>
      <c r="Z55" s="46">
        <f>Y55-Y52</f>
        <v/>
      </c>
      <c r="AA55" s="30">
        <f>Z55/Y67</f>
        <v/>
      </c>
    </row>
    <row r="56">
      <c r="A56" s="3" t="n"/>
      <c r="B56" s="3" t="n">
        <v>0.61</v>
      </c>
      <c r="C56" s="3" t="n">
        <v>0.62</v>
      </c>
      <c r="D56" s="3" t="n">
        <v>0.63</v>
      </c>
      <c r="E56" s="3" t="n">
        <v>0.64</v>
      </c>
      <c r="F56" s="3" t="n">
        <v>0.65</v>
      </c>
      <c r="G56" s="3" t="n">
        <v>0.66</v>
      </c>
      <c r="H56" s="3" t="n">
        <v>0.67</v>
      </c>
      <c r="I56" s="3" t="n">
        <v>0.68</v>
      </c>
      <c r="J56" s="3" t="n">
        <v>0.6899999999999999</v>
      </c>
      <c r="K56" s="3" t="n"/>
      <c r="L56" s="3" t="n"/>
      <c r="M56" s="31" t="n"/>
      <c r="O56" s="3" t="n"/>
      <c r="P56" s="3" t="n">
        <v>0.61</v>
      </c>
      <c r="Q56" s="3" t="n">
        <v>0.62</v>
      </c>
      <c r="R56" s="3" t="n">
        <v>0.63</v>
      </c>
      <c r="S56" s="3" t="n">
        <v>0.64</v>
      </c>
      <c r="T56" s="3" t="n">
        <v>0.65</v>
      </c>
      <c r="U56" s="3" t="n">
        <v>0.66</v>
      </c>
      <c r="V56" s="3" t="n">
        <v>0.67</v>
      </c>
      <c r="W56" s="3" t="n">
        <v>0.68</v>
      </c>
      <c r="X56" s="3" t="n">
        <v>0.6899999999999999</v>
      </c>
      <c r="Y56" s="3" t="n"/>
      <c r="Z56" s="3" t="n"/>
      <c r="AA56" s="31" t="n"/>
    </row>
    <row r="57">
      <c r="A57" s="5" t="inlineStr">
        <is>
          <t>时间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38" t="n"/>
      <c r="L57" s="5">
        <f>K57-K54</f>
        <v/>
      </c>
      <c r="M57" s="29">
        <f>L57/K66</f>
        <v/>
      </c>
      <c r="O57" s="5" t="inlineStr">
        <is>
          <t>时间</t>
        </is>
      </c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38" t="n"/>
      <c r="Z57" s="5">
        <f>Y57-Y54</f>
        <v/>
      </c>
      <c r="AA57" s="29">
        <f>Z57/Y66</f>
        <v/>
      </c>
    </row>
    <row r="58">
      <c r="A58" s="11" t="inlineStr">
        <is>
          <t>容量</t>
        </is>
      </c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>
        <f>K58-K55</f>
        <v/>
      </c>
      <c r="M58" s="30">
        <f>L58/K67</f>
        <v/>
      </c>
      <c r="O58" s="11" t="inlineStr">
        <is>
          <t>容量</t>
        </is>
      </c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6" t="n"/>
      <c r="Z58" s="46">
        <f>Y58-Y55</f>
        <v/>
      </c>
      <c r="AA58" s="30">
        <f>Z58/Y67</f>
        <v/>
      </c>
    </row>
    <row r="59">
      <c r="A59" s="3" t="n"/>
      <c r="B59" s="3" t="n">
        <v>0.71</v>
      </c>
      <c r="C59" s="3" t="n">
        <v>0.72</v>
      </c>
      <c r="D59" s="3" t="n">
        <v>0.73</v>
      </c>
      <c r="E59" s="3" t="n">
        <v>0.74</v>
      </c>
      <c r="F59" s="3" t="n">
        <v>0.75</v>
      </c>
      <c r="G59" s="3" t="n">
        <v>0.76</v>
      </c>
      <c r="H59" s="3" t="n">
        <v>0.77</v>
      </c>
      <c r="I59" s="3" t="n">
        <v>0.78</v>
      </c>
      <c r="J59" s="3" t="n">
        <v>0.79</v>
      </c>
      <c r="K59" s="3" t="n"/>
      <c r="L59" s="3" t="n"/>
      <c r="M59" s="31" t="n"/>
      <c r="O59" s="3" t="n"/>
      <c r="P59" s="3" t="n">
        <v>0.71</v>
      </c>
      <c r="Q59" s="3" t="n">
        <v>0.72</v>
      </c>
      <c r="R59" s="3" t="n">
        <v>0.73</v>
      </c>
      <c r="S59" s="3" t="n">
        <v>0.74</v>
      </c>
      <c r="T59" s="3" t="n">
        <v>0.75</v>
      </c>
      <c r="U59" s="3" t="n">
        <v>0.76</v>
      </c>
      <c r="V59" s="3" t="n">
        <v>0.77</v>
      </c>
      <c r="W59" s="3" t="n">
        <v>0.78</v>
      </c>
      <c r="X59" s="3" t="n">
        <v>0.79</v>
      </c>
      <c r="Y59" s="3" t="n"/>
      <c r="Z59" s="3" t="n"/>
      <c r="AA59" s="31" t="n"/>
    </row>
    <row r="60">
      <c r="A60" s="5" t="inlineStr">
        <is>
          <t>时间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38" t="n"/>
      <c r="L60" s="5">
        <f>K60-K57</f>
        <v/>
      </c>
      <c r="M60" s="29">
        <f>L60/K66</f>
        <v/>
      </c>
      <c r="O60" s="5" t="inlineStr">
        <is>
          <t>时间</t>
        </is>
      </c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38" t="n"/>
      <c r="Z60" s="5">
        <f>Y60-Y57</f>
        <v/>
      </c>
      <c r="AA60" s="29">
        <f>Z60/Y66</f>
        <v/>
      </c>
    </row>
    <row r="61">
      <c r="A61" s="11" t="inlineStr">
        <is>
          <t>容量</t>
        </is>
      </c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>
        <f>K61-K58</f>
        <v/>
      </c>
      <c r="M61" s="30">
        <f>L61/K67</f>
        <v/>
      </c>
      <c r="O61" s="11" t="inlineStr">
        <is>
          <t>容量</t>
        </is>
      </c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6" t="n"/>
      <c r="Z61" s="46">
        <f>Y61-Y58</f>
        <v/>
      </c>
      <c r="AA61" s="30">
        <f>Z61/Y67</f>
        <v/>
      </c>
    </row>
    <row r="62">
      <c r="A62" s="3" t="n"/>
      <c r="B62" s="3" t="n">
        <v>0.8100000000000001</v>
      </c>
      <c r="C62" s="3" t="n">
        <v>0.82</v>
      </c>
      <c r="D62" s="3" t="n">
        <v>0.83</v>
      </c>
      <c r="E62" s="3" t="n">
        <v>0.84</v>
      </c>
      <c r="F62" s="3" t="n">
        <v>0.85</v>
      </c>
      <c r="G62" s="3" t="n">
        <v>0.86</v>
      </c>
      <c r="H62" s="3" t="n">
        <v>0.87</v>
      </c>
      <c r="I62" s="3" t="n">
        <v>0.88</v>
      </c>
      <c r="J62" s="3" t="n">
        <v>0.89</v>
      </c>
      <c r="K62" s="3" t="n"/>
      <c r="L62" s="3" t="n"/>
      <c r="M62" s="31" t="n"/>
      <c r="O62" s="3" t="n"/>
      <c r="P62" s="3" t="n">
        <v>0.8100000000000001</v>
      </c>
      <c r="Q62" s="3" t="n">
        <v>0.82</v>
      </c>
      <c r="R62" s="3" t="n">
        <v>0.83</v>
      </c>
      <c r="S62" s="3" t="n">
        <v>0.84</v>
      </c>
      <c r="T62" s="3" t="n">
        <v>0.85</v>
      </c>
      <c r="U62" s="3" t="n">
        <v>0.86</v>
      </c>
      <c r="V62" s="3" t="n">
        <v>0.87</v>
      </c>
      <c r="W62" s="3" t="n">
        <v>0.88</v>
      </c>
      <c r="X62" s="3" t="n">
        <v>0.89</v>
      </c>
      <c r="Y62" s="3" t="n"/>
      <c r="Z62" s="3" t="n"/>
      <c r="AA62" s="31" t="n"/>
    </row>
    <row r="63">
      <c r="A63" s="5" t="inlineStr">
        <is>
          <t>时间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38" t="n"/>
      <c r="L63" s="5">
        <f>K63-K60</f>
        <v/>
      </c>
      <c r="M63" s="29">
        <f>L63/K66</f>
        <v/>
      </c>
      <c r="O63" s="5" t="inlineStr">
        <is>
          <t>时间</t>
        </is>
      </c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38" t="n"/>
      <c r="Z63" s="5">
        <f>Y63-Y60</f>
        <v/>
      </c>
      <c r="AA63" s="29">
        <f>Z63/Y66</f>
        <v/>
      </c>
    </row>
    <row r="64">
      <c r="A64" s="11" t="inlineStr">
        <is>
          <t>容量</t>
        </is>
      </c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>
        <f>K64-K61</f>
        <v/>
      </c>
      <c r="M64" s="30">
        <f>L64/K67</f>
        <v/>
      </c>
      <c r="O64" s="11" t="inlineStr">
        <is>
          <t>容量</t>
        </is>
      </c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6" t="n"/>
      <c r="Z64" s="46">
        <f>Y64-Y61</f>
        <v/>
      </c>
      <c r="AA64" s="30">
        <f>Z64/Y67</f>
        <v/>
      </c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1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1" t="n"/>
    </row>
    <row r="66">
      <c r="A66" s="5" t="inlineStr">
        <is>
          <t>时间</t>
        </is>
      </c>
      <c r="B66" s="38" t="n"/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5">
        <f>K66-K63</f>
        <v/>
      </c>
      <c r="M66" s="29">
        <f>L66/K66</f>
        <v/>
      </c>
      <c r="O66" s="5" t="inlineStr">
        <is>
          <t>时间</t>
        </is>
      </c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5">
        <f>Y66-Y63</f>
        <v/>
      </c>
      <c r="AA66" s="29">
        <f>Z66/Y66</f>
        <v/>
      </c>
    </row>
    <row r="67">
      <c r="A67" s="11" t="inlineStr">
        <is>
          <t>容量</t>
        </is>
      </c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>
        <f>K67-K64</f>
        <v/>
      </c>
      <c r="M67" s="30">
        <f>L67/K67</f>
        <v/>
      </c>
      <c r="O67" s="11" t="inlineStr">
        <is>
          <t>容量</t>
        </is>
      </c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>
        <f>Y67-Y64</f>
        <v/>
      </c>
      <c r="AA67" s="30">
        <f>Z67/Y67</f>
        <v/>
      </c>
    </row>
    <row r="68" ht="14.25" customHeight="1" s="35">
      <c r="A68" s="15" t="inlineStr">
        <is>
          <t>容量</t>
        </is>
      </c>
      <c r="B68" s="16" t="n"/>
      <c r="C68" s="43" t="n"/>
      <c r="D68" s="43" t="n"/>
      <c r="E68" s="44" t="n"/>
      <c r="F68" s="15" t="inlineStr">
        <is>
          <t>能量</t>
        </is>
      </c>
      <c r="G68" s="45" t="n"/>
      <c r="H68" s="43" t="n"/>
      <c r="I68" s="43" t="n"/>
      <c r="J68" s="44" t="n"/>
      <c r="K68" s="15" t="n"/>
      <c r="L68" s="18" t="n"/>
      <c r="M68" s="44" t="n"/>
      <c r="O68" s="15" t="inlineStr">
        <is>
          <t>容量</t>
        </is>
      </c>
      <c r="P68" s="16" t="n"/>
      <c r="Q68" s="43" t="n"/>
      <c r="R68" s="43" t="n"/>
      <c r="S68" s="44" t="n"/>
      <c r="T68" s="15" t="inlineStr">
        <is>
          <t>能量</t>
        </is>
      </c>
      <c r="U68" s="45" t="n"/>
      <c r="V68" s="43" t="n"/>
      <c r="W68" s="43" t="n"/>
      <c r="X68" s="44" t="n"/>
      <c r="Y68" s="15" t="n"/>
      <c r="Z68" s="18" t="n"/>
      <c r="AA68" s="44" t="n"/>
    </row>
    <row r="69" ht="241.05" customHeight="1" s="35">
      <c r="A69" s="18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43" t="n"/>
      <c r="M69" s="44" t="n"/>
      <c r="O69" s="18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  <c r="AA69" s="44" t="n"/>
    </row>
    <row r="70"/>
    <row r="71" ht="25.5" customHeight="1" s="35">
      <c r="A71" s="1" t="inlineStr">
        <is>
          <t>数显测试</t>
        </is>
      </c>
      <c r="O71" s="1" t="inlineStr">
        <is>
          <t>数显测试</t>
        </is>
      </c>
    </row>
    <row r="72" ht="25.5" customHeight="1" s="35">
      <c r="A72" s="2" t="inlineStr">
        <is>
          <t xml:space="preserve">PB519  C口  12V充电  1# </t>
        </is>
      </c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1" t="n"/>
      <c r="O72" s="2" t="inlineStr">
        <is>
          <t xml:space="preserve">PB519  C线  12V充电  2# </t>
        </is>
      </c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1" t="n"/>
    </row>
    <row r="73" ht="27" customHeight="1" s="35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inlineStr">
        <is>
          <t>每10%</t>
        </is>
      </c>
      <c r="M73" s="20" t="inlineStr">
        <is>
          <t>占总时长比
占总容量比</t>
        </is>
      </c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inlineStr">
        <is>
          <t>每10%</t>
        </is>
      </c>
      <c r="AA73" s="20" t="inlineStr">
        <is>
          <t>占总时长比
占总容量比</t>
        </is>
      </c>
    </row>
    <row r="74">
      <c r="A74" s="5" t="inlineStr">
        <is>
          <t>时间</t>
        </is>
      </c>
      <c r="B74" s="38" t="n"/>
      <c r="C74" s="38" t="n"/>
      <c r="D74" s="38" t="n"/>
      <c r="E74" s="38" t="n"/>
      <c r="F74" s="38" t="n"/>
      <c r="G74" s="38" t="n"/>
      <c r="H74" s="38" t="n"/>
      <c r="I74" s="38" t="n"/>
      <c r="J74" s="38" t="n"/>
      <c r="K74" s="38" t="n"/>
      <c r="L74" s="5">
        <f>K74-B74</f>
        <v/>
      </c>
      <c r="M74" s="47">
        <f>L74/K101</f>
        <v/>
      </c>
      <c r="O74" s="5" t="inlineStr">
        <is>
          <t>时间</t>
        </is>
      </c>
      <c r="P74" s="38" t="n"/>
      <c r="Q74" s="38" t="n"/>
      <c r="R74" s="38" t="n"/>
      <c r="S74" s="38" t="n"/>
      <c r="T74" s="38" t="n"/>
      <c r="U74" s="38" t="n"/>
      <c r="V74" s="38" t="n"/>
      <c r="W74" s="38" t="n"/>
      <c r="X74" s="38" t="n"/>
      <c r="Y74" s="38" t="n"/>
      <c r="Z74" s="5">
        <f>Y74-P74</f>
        <v/>
      </c>
      <c r="AA74" s="47">
        <f>Z74/Y101</f>
        <v/>
      </c>
    </row>
    <row r="75">
      <c r="A75" s="11" t="inlineStr">
        <is>
          <t>容量</t>
        </is>
      </c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42">
        <f>K75-B75</f>
        <v/>
      </c>
      <c r="M75" s="11">
        <f>L75/K102</f>
        <v/>
      </c>
      <c r="O75" s="11" t="inlineStr">
        <is>
          <t>容量</t>
        </is>
      </c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42">
        <f>Y75-P75</f>
        <v/>
      </c>
      <c r="AA75" s="11">
        <f>Z75/Y102</f>
        <v/>
      </c>
    </row>
    <row r="76">
      <c r="A76" s="3" t="n"/>
      <c r="B76" s="3" t="n">
        <v>0.11</v>
      </c>
      <c r="C76" s="3" t="n">
        <v>0.12</v>
      </c>
      <c r="D76" s="3" t="n">
        <v>0.13</v>
      </c>
      <c r="E76" s="3" t="n">
        <v>0.14</v>
      </c>
      <c r="F76" s="3" t="n">
        <v>0.15</v>
      </c>
      <c r="G76" s="3" t="n">
        <v>0.16</v>
      </c>
      <c r="H76" s="3" t="n">
        <v>0.17</v>
      </c>
      <c r="I76" s="3" t="n">
        <v>0.18</v>
      </c>
      <c r="J76" s="3" t="n">
        <v>0.19</v>
      </c>
      <c r="K76" s="3" t="n"/>
      <c r="L76" s="3" t="n"/>
      <c r="M76" s="3" t="n"/>
      <c r="O76" s="3" t="n"/>
      <c r="P76" s="3" t="n">
        <v>0.11</v>
      </c>
      <c r="Q76" s="3" t="n">
        <v>0.12</v>
      </c>
      <c r="R76" s="3" t="n">
        <v>0.13</v>
      </c>
      <c r="S76" s="3" t="n">
        <v>0.14</v>
      </c>
      <c r="T76" s="3" t="n">
        <v>0.15</v>
      </c>
      <c r="U76" s="3" t="n">
        <v>0.16</v>
      </c>
      <c r="V76" s="3" t="n">
        <v>0.17</v>
      </c>
      <c r="W76" s="3" t="n">
        <v>0.18</v>
      </c>
      <c r="X76" s="3" t="n">
        <v>0.19</v>
      </c>
      <c r="Y76" s="3" t="n"/>
      <c r="Z76" s="3" t="n"/>
      <c r="AA76" s="3" t="n"/>
    </row>
    <row r="77">
      <c r="A77" s="5" t="inlineStr">
        <is>
          <t>时间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38" t="n"/>
      <c r="L77" s="5">
        <f>K77-K74</f>
        <v/>
      </c>
      <c r="M77" s="47">
        <f>L77/K101</f>
        <v/>
      </c>
      <c r="O77" s="5" t="inlineStr">
        <is>
          <t>时间</t>
        </is>
      </c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38" t="n"/>
      <c r="Z77" s="5">
        <f>Y77-Y74</f>
        <v/>
      </c>
      <c r="AA77" s="47">
        <f>Z77/Y101</f>
        <v/>
      </c>
    </row>
    <row r="78">
      <c r="A78" s="11" t="inlineStr">
        <is>
          <t>容量</t>
        </is>
      </c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39" t="n"/>
      <c r="L78" s="42">
        <f>K78-K75</f>
        <v/>
      </c>
      <c r="M78" s="11">
        <f>L78/K102</f>
        <v/>
      </c>
      <c r="O78" s="11" t="inlineStr">
        <is>
          <t>容量</t>
        </is>
      </c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42">
        <f>Y78-Y75</f>
        <v/>
      </c>
      <c r="AA78" s="11">
        <f>Z78/Y102</f>
        <v/>
      </c>
    </row>
    <row r="79">
      <c r="A79" s="3" t="n"/>
      <c r="B79" s="3" t="n">
        <v>0.21</v>
      </c>
      <c r="C79" s="3" t="n">
        <v>0.22</v>
      </c>
      <c r="D79" s="3" t="n">
        <v>0.23</v>
      </c>
      <c r="E79" s="3" t="n">
        <v>0.24</v>
      </c>
      <c r="F79" s="3" t="n">
        <v>0.25</v>
      </c>
      <c r="G79" s="3" t="n">
        <v>0.26</v>
      </c>
      <c r="H79" s="3" t="n">
        <v>0.27</v>
      </c>
      <c r="I79" s="3" t="n">
        <v>0.28</v>
      </c>
      <c r="J79" s="3" t="n">
        <v>0.29</v>
      </c>
      <c r="K79" s="3" t="n"/>
      <c r="L79" s="3" t="n"/>
      <c r="M79" s="3" t="n"/>
      <c r="O79" s="3" t="n"/>
      <c r="P79" s="3" t="n">
        <v>0.21</v>
      </c>
      <c r="Q79" s="3" t="n">
        <v>0.22</v>
      </c>
      <c r="R79" s="3" t="n">
        <v>0.23</v>
      </c>
      <c r="S79" s="3" t="n">
        <v>0.24</v>
      </c>
      <c r="T79" s="3" t="n">
        <v>0.25</v>
      </c>
      <c r="U79" s="3" t="n">
        <v>0.26</v>
      </c>
      <c r="V79" s="3" t="n">
        <v>0.27</v>
      </c>
      <c r="W79" s="3" t="n">
        <v>0.28</v>
      </c>
      <c r="X79" s="3" t="n">
        <v>0.29</v>
      </c>
      <c r="Y79" s="3" t="n"/>
      <c r="Z79" s="3" t="n"/>
      <c r="AA79" s="3" t="n"/>
    </row>
    <row r="80">
      <c r="A80" s="5" t="inlineStr">
        <is>
          <t>时间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38" t="n"/>
      <c r="L80" s="5">
        <f>K80-K77</f>
        <v/>
      </c>
      <c r="M80" s="47">
        <f>L80/K101</f>
        <v/>
      </c>
      <c r="O80" s="5" t="inlineStr">
        <is>
          <t>时间</t>
        </is>
      </c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38" t="n"/>
      <c r="Z80" s="5">
        <f>Y80-Y77</f>
        <v/>
      </c>
      <c r="AA80" s="47">
        <f>Z80/Y101</f>
        <v/>
      </c>
    </row>
    <row r="81">
      <c r="A81" s="11" t="inlineStr">
        <is>
          <t>容量</t>
        </is>
      </c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39" t="n"/>
      <c r="L81" s="42">
        <f>K81-K78</f>
        <v/>
      </c>
      <c r="M81" s="11">
        <f>L81/K102</f>
        <v/>
      </c>
      <c r="O81" s="11" t="inlineStr">
        <is>
          <t>容量</t>
        </is>
      </c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42">
        <f>Y81-Y78</f>
        <v/>
      </c>
      <c r="AA81" s="11">
        <f>Z81/Y102</f>
        <v/>
      </c>
    </row>
    <row r="82">
      <c r="A82" s="3" t="n"/>
      <c r="B82" s="3" t="n">
        <v>0.31</v>
      </c>
      <c r="C82" s="3" t="n">
        <v>0.32</v>
      </c>
      <c r="D82" s="3" t="n">
        <v>0.33</v>
      </c>
      <c r="E82" s="3" t="n">
        <v>0.34</v>
      </c>
      <c r="F82" s="3" t="n">
        <v>0.35</v>
      </c>
      <c r="G82" s="3" t="n">
        <v>0.36</v>
      </c>
      <c r="H82" s="3" t="n">
        <v>0.37</v>
      </c>
      <c r="I82" s="3" t="n">
        <v>0.38</v>
      </c>
      <c r="J82" s="3" t="n">
        <v>0.39</v>
      </c>
      <c r="K82" s="3" t="n"/>
      <c r="L82" s="3" t="n"/>
      <c r="M82" s="3" t="n"/>
      <c r="O82" s="3" t="n"/>
      <c r="P82" s="3" t="n">
        <v>0.31</v>
      </c>
      <c r="Q82" s="3" t="n">
        <v>0.32</v>
      </c>
      <c r="R82" s="3" t="n">
        <v>0.33</v>
      </c>
      <c r="S82" s="3" t="n">
        <v>0.34</v>
      </c>
      <c r="T82" s="3" t="n">
        <v>0.35</v>
      </c>
      <c r="U82" s="3" t="n">
        <v>0.36</v>
      </c>
      <c r="V82" s="3" t="n">
        <v>0.37</v>
      </c>
      <c r="W82" s="3" t="n">
        <v>0.38</v>
      </c>
      <c r="X82" s="3" t="n">
        <v>0.39</v>
      </c>
      <c r="Y82" s="3" t="n"/>
      <c r="Z82" s="3" t="n"/>
      <c r="AA82" s="3" t="n"/>
    </row>
    <row r="83">
      <c r="A83" s="5" t="inlineStr">
        <is>
          <t>时间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38" t="n"/>
      <c r="L83" s="5">
        <f>K83-K80</f>
        <v/>
      </c>
      <c r="M83" s="47">
        <f>L83/K101</f>
        <v/>
      </c>
      <c r="O83" s="5" t="inlineStr">
        <is>
          <t>时间</t>
        </is>
      </c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38" t="n"/>
      <c r="Z83" s="5">
        <f>Y83-Y80</f>
        <v/>
      </c>
      <c r="AA83" s="47">
        <f>Z83/Y101</f>
        <v/>
      </c>
    </row>
    <row r="84">
      <c r="A84" s="11" t="inlineStr">
        <is>
          <t>容量</t>
        </is>
      </c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39" t="n"/>
      <c r="L84" s="42">
        <f>K84-K81</f>
        <v/>
      </c>
      <c r="M84" s="11">
        <f>L84/K102</f>
        <v/>
      </c>
      <c r="O84" s="11" t="inlineStr">
        <is>
          <t>容量</t>
        </is>
      </c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42">
        <f>Y84-Y81</f>
        <v/>
      </c>
      <c r="AA84" s="11">
        <f>Z84/Y102</f>
        <v/>
      </c>
    </row>
    <row r="85">
      <c r="A85" s="3" t="n"/>
      <c r="B85" s="3" t="n">
        <v>0.41</v>
      </c>
      <c r="C85" s="3" t="n">
        <v>0.42</v>
      </c>
      <c r="D85" s="3" t="n">
        <v>0.43</v>
      </c>
      <c r="E85" s="3" t="n">
        <v>0.44</v>
      </c>
      <c r="F85" s="3" t="n">
        <v>0.45</v>
      </c>
      <c r="G85" s="3" t="n">
        <v>0.46</v>
      </c>
      <c r="H85" s="3" t="n">
        <v>0.47</v>
      </c>
      <c r="I85" s="3" t="n">
        <v>0.48</v>
      </c>
      <c r="J85" s="3" t="n">
        <v>0.49</v>
      </c>
      <c r="K85" s="3" t="n"/>
      <c r="L85" s="3" t="n"/>
      <c r="M85" s="3" t="n"/>
      <c r="O85" s="3" t="n"/>
      <c r="P85" s="3" t="n">
        <v>0.41</v>
      </c>
      <c r="Q85" s="3" t="n">
        <v>0.42</v>
      </c>
      <c r="R85" s="3" t="n">
        <v>0.43</v>
      </c>
      <c r="S85" s="3" t="n">
        <v>0.44</v>
      </c>
      <c r="T85" s="3" t="n">
        <v>0.45</v>
      </c>
      <c r="U85" s="3" t="n">
        <v>0.46</v>
      </c>
      <c r="V85" s="3" t="n">
        <v>0.47</v>
      </c>
      <c r="W85" s="3" t="n">
        <v>0.48</v>
      </c>
      <c r="X85" s="3" t="n">
        <v>0.49</v>
      </c>
      <c r="Y85" s="3" t="n"/>
      <c r="Z85" s="3" t="n"/>
      <c r="AA85" s="3" t="n"/>
    </row>
    <row r="86">
      <c r="A86" s="5" t="inlineStr">
        <is>
          <t>时间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38" t="n"/>
      <c r="L86" s="5">
        <f>K86-K83</f>
        <v/>
      </c>
      <c r="M86" s="47">
        <f>L86/K101</f>
        <v/>
      </c>
      <c r="O86" s="5" t="inlineStr">
        <is>
          <t>时间</t>
        </is>
      </c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38" t="n"/>
      <c r="Z86" s="5">
        <f>Y86-Y83</f>
        <v/>
      </c>
      <c r="AA86" s="47">
        <f>Z86/Y101</f>
        <v/>
      </c>
    </row>
    <row r="87">
      <c r="A87" s="11" t="inlineStr">
        <is>
          <t>容量</t>
        </is>
      </c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39" t="n"/>
      <c r="L87" s="42">
        <f>K87-K84</f>
        <v/>
      </c>
      <c r="M87" s="11">
        <f>L87/K102</f>
        <v/>
      </c>
      <c r="O87" s="11" t="inlineStr">
        <is>
          <t>容量</t>
        </is>
      </c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42">
        <f>Y87-Y84</f>
        <v/>
      </c>
      <c r="AA87" s="11">
        <f>Z87/Y102</f>
        <v/>
      </c>
    </row>
    <row r="88">
      <c r="A88" s="3" t="n"/>
      <c r="B88" s="3" t="n">
        <v>0.51</v>
      </c>
      <c r="C88" s="3" t="n">
        <v>0.52</v>
      </c>
      <c r="D88" s="3" t="n">
        <v>0.53</v>
      </c>
      <c r="E88" s="3" t="n">
        <v>0.54</v>
      </c>
      <c r="F88" s="3" t="n">
        <v>0.55</v>
      </c>
      <c r="G88" s="3" t="n">
        <v>0.5600000000000001</v>
      </c>
      <c r="H88" s="3" t="n">
        <v>0.57</v>
      </c>
      <c r="I88" s="3" t="n">
        <v>0.58</v>
      </c>
      <c r="J88" s="3" t="n">
        <v>0.59</v>
      </c>
      <c r="K88" s="3" t="n"/>
      <c r="L88" s="3" t="n"/>
      <c r="M88" s="3" t="n"/>
      <c r="O88" s="3" t="n"/>
      <c r="P88" s="3" t="n">
        <v>0.51</v>
      </c>
      <c r="Q88" s="3" t="n">
        <v>0.52</v>
      </c>
      <c r="R88" s="3" t="n">
        <v>0.53</v>
      </c>
      <c r="S88" s="3" t="n">
        <v>0.54</v>
      </c>
      <c r="T88" s="3" t="n">
        <v>0.55</v>
      </c>
      <c r="U88" s="3" t="n">
        <v>0.5600000000000001</v>
      </c>
      <c r="V88" s="3" t="n">
        <v>0.57</v>
      </c>
      <c r="W88" s="3" t="n">
        <v>0.58</v>
      </c>
      <c r="X88" s="3" t="n">
        <v>0.59</v>
      </c>
      <c r="Y88" s="3" t="n"/>
      <c r="Z88" s="3" t="n"/>
      <c r="AA88" s="3" t="n"/>
    </row>
    <row r="89">
      <c r="A89" s="5" t="inlineStr">
        <is>
          <t>时间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38" t="n"/>
      <c r="L89" s="5">
        <f>K89-K86</f>
        <v/>
      </c>
      <c r="M89" s="47">
        <f>L89/K101</f>
        <v/>
      </c>
      <c r="O89" s="5" t="inlineStr">
        <is>
          <t>时间</t>
        </is>
      </c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38" t="n"/>
      <c r="Z89" s="5">
        <f>Y89-Y86</f>
        <v/>
      </c>
      <c r="AA89" s="47">
        <f>Z89/Y101</f>
        <v/>
      </c>
    </row>
    <row r="90">
      <c r="A90" s="11" t="inlineStr">
        <is>
          <t>容量</t>
        </is>
      </c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39" t="n"/>
      <c r="L90" s="42">
        <f>K90-K87</f>
        <v/>
      </c>
      <c r="M90" s="11">
        <f>L90/K102</f>
        <v/>
      </c>
      <c r="O90" s="11" t="inlineStr">
        <is>
          <t>容量</t>
        </is>
      </c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42">
        <f>Y90-Y87</f>
        <v/>
      </c>
      <c r="AA90" s="11">
        <f>Z90/Y102</f>
        <v/>
      </c>
    </row>
    <row r="91">
      <c r="A91" s="3" t="n"/>
      <c r="B91" s="3" t="n">
        <v>0.61</v>
      </c>
      <c r="C91" s="3" t="n">
        <v>0.62</v>
      </c>
      <c r="D91" s="3" t="n">
        <v>0.63</v>
      </c>
      <c r="E91" s="3" t="n">
        <v>0.64</v>
      </c>
      <c r="F91" s="3" t="n">
        <v>0.65</v>
      </c>
      <c r="G91" s="3" t="n">
        <v>0.66</v>
      </c>
      <c r="H91" s="3" t="n">
        <v>0.67</v>
      </c>
      <c r="I91" s="3" t="n">
        <v>0.68</v>
      </c>
      <c r="J91" s="3" t="n">
        <v>0.6899999999999999</v>
      </c>
      <c r="K91" s="3" t="n"/>
      <c r="L91" s="3" t="n"/>
      <c r="M91" s="3" t="n"/>
      <c r="O91" s="3" t="n"/>
      <c r="P91" s="3" t="n">
        <v>0.61</v>
      </c>
      <c r="Q91" s="3" t="n">
        <v>0.62</v>
      </c>
      <c r="R91" s="3" t="n">
        <v>0.63</v>
      </c>
      <c r="S91" s="3" t="n">
        <v>0.64</v>
      </c>
      <c r="T91" s="3" t="n">
        <v>0.65</v>
      </c>
      <c r="U91" s="3" t="n">
        <v>0.66</v>
      </c>
      <c r="V91" s="3" t="n">
        <v>0.67</v>
      </c>
      <c r="W91" s="3" t="n">
        <v>0.68</v>
      </c>
      <c r="X91" s="3" t="n">
        <v>0.6899999999999999</v>
      </c>
      <c r="Y91" s="3" t="n"/>
      <c r="Z91" s="3" t="n"/>
      <c r="AA91" s="3" t="n"/>
    </row>
    <row r="92">
      <c r="A92" s="5" t="inlineStr">
        <is>
          <t>时间</t>
        </is>
      </c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38" t="n"/>
      <c r="L92" s="5">
        <f>K92-K89</f>
        <v/>
      </c>
      <c r="M92" s="47">
        <f>L92/K101</f>
        <v/>
      </c>
      <c r="O92" s="5" t="inlineStr">
        <is>
          <t>时间</t>
        </is>
      </c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38" t="n"/>
      <c r="Z92" s="5">
        <f>Y92-Y89</f>
        <v/>
      </c>
      <c r="AA92" s="47">
        <f>Z92/Y101</f>
        <v/>
      </c>
    </row>
    <row r="93">
      <c r="A93" s="11" t="inlineStr">
        <is>
          <t>容量</t>
        </is>
      </c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39" t="n"/>
      <c r="L93" s="42">
        <f>K93-K90</f>
        <v/>
      </c>
      <c r="M93" s="11">
        <f>L93/K102</f>
        <v/>
      </c>
      <c r="O93" s="11" t="inlineStr">
        <is>
          <t>容量</t>
        </is>
      </c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42">
        <f>Y93-Y90</f>
        <v/>
      </c>
      <c r="AA93" s="11">
        <f>Z93/Y102</f>
        <v/>
      </c>
    </row>
    <row r="94">
      <c r="A94" s="3" t="n"/>
      <c r="B94" s="3" t="n">
        <v>0.71</v>
      </c>
      <c r="C94" s="3" t="n">
        <v>0.72</v>
      </c>
      <c r="D94" s="3" t="n">
        <v>0.73</v>
      </c>
      <c r="E94" s="3" t="n">
        <v>0.74</v>
      </c>
      <c r="F94" s="3" t="n">
        <v>0.75</v>
      </c>
      <c r="G94" s="3" t="n">
        <v>0.76</v>
      </c>
      <c r="H94" s="3" t="n">
        <v>0.77</v>
      </c>
      <c r="I94" s="3" t="n">
        <v>0.78</v>
      </c>
      <c r="J94" s="3" t="n">
        <v>0.79</v>
      </c>
      <c r="K94" s="3" t="n"/>
      <c r="L94" s="3" t="n"/>
      <c r="M94" s="3" t="n"/>
      <c r="O94" s="3" t="n"/>
      <c r="P94" s="3" t="n">
        <v>0.71</v>
      </c>
      <c r="Q94" s="3" t="n">
        <v>0.72</v>
      </c>
      <c r="R94" s="3" t="n">
        <v>0.73</v>
      </c>
      <c r="S94" s="3" t="n">
        <v>0.74</v>
      </c>
      <c r="T94" s="3" t="n">
        <v>0.75</v>
      </c>
      <c r="U94" s="3" t="n">
        <v>0.76</v>
      </c>
      <c r="V94" s="3" t="n">
        <v>0.77</v>
      </c>
      <c r="W94" s="3" t="n">
        <v>0.78</v>
      </c>
      <c r="X94" s="3" t="n">
        <v>0.79</v>
      </c>
      <c r="Y94" s="3" t="n"/>
      <c r="Z94" s="3" t="n"/>
      <c r="AA94" s="3" t="n"/>
    </row>
    <row r="95">
      <c r="A95" s="5" t="inlineStr">
        <is>
          <t>时间</t>
        </is>
      </c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38" t="n"/>
      <c r="L95" s="5">
        <f>K95-K92</f>
        <v/>
      </c>
      <c r="M95" s="47">
        <f>L95/K101</f>
        <v/>
      </c>
      <c r="O95" s="5" t="inlineStr">
        <is>
          <t>时间</t>
        </is>
      </c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38" t="n"/>
      <c r="Z95" s="5">
        <f>Y95-Y92</f>
        <v/>
      </c>
      <c r="AA95" s="47">
        <f>Z95/Y101</f>
        <v/>
      </c>
    </row>
    <row r="96">
      <c r="A96" s="11" t="inlineStr">
        <is>
          <t>容量</t>
        </is>
      </c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39" t="n"/>
      <c r="L96" s="42">
        <f>K96-K93</f>
        <v/>
      </c>
      <c r="M96" s="11">
        <f>L96/K102</f>
        <v/>
      </c>
      <c r="O96" s="11" t="inlineStr">
        <is>
          <t>容量</t>
        </is>
      </c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42">
        <f>Y96-Y93</f>
        <v/>
      </c>
      <c r="AA96" s="11">
        <f>Z96/Y102</f>
        <v/>
      </c>
    </row>
    <row r="97">
      <c r="A97" s="3" t="n"/>
      <c r="B97" s="3" t="n">
        <v>0.8100000000000001</v>
      </c>
      <c r="C97" s="3" t="n">
        <v>0.82</v>
      </c>
      <c r="D97" s="3" t="n">
        <v>0.83</v>
      </c>
      <c r="E97" s="3" t="n">
        <v>0.84</v>
      </c>
      <c r="F97" s="3" t="n">
        <v>0.85</v>
      </c>
      <c r="G97" s="3" t="n">
        <v>0.86</v>
      </c>
      <c r="H97" s="3" t="n">
        <v>0.87</v>
      </c>
      <c r="I97" s="3" t="n">
        <v>0.88</v>
      </c>
      <c r="J97" s="3" t="n">
        <v>0.89</v>
      </c>
      <c r="K97" s="3" t="n"/>
      <c r="L97" s="3" t="n"/>
      <c r="M97" s="3" t="n"/>
      <c r="O97" s="3" t="n"/>
      <c r="P97" s="3" t="n">
        <v>0.8100000000000001</v>
      </c>
      <c r="Q97" s="3" t="n">
        <v>0.82</v>
      </c>
      <c r="R97" s="3" t="n">
        <v>0.83</v>
      </c>
      <c r="S97" s="3" t="n">
        <v>0.84</v>
      </c>
      <c r="T97" s="3" t="n">
        <v>0.85</v>
      </c>
      <c r="U97" s="3" t="n">
        <v>0.86</v>
      </c>
      <c r="V97" s="3" t="n">
        <v>0.87</v>
      </c>
      <c r="W97" s="3" t="n">
        <v>0.88</v>
      </c>
      <c r="X97" s="3" t="n">
        <v>0.89</v>
      </c>
      <c r="Y97" s="3" t="n"/>
      <c r="Z97" s="3" t="n"/>
      <c r="AA97" s="3" t="n"/>
    </row>
    <row r="98">
      <c r="A98" s="5" t="inlineStr">
        <is>
          <t>时间</t>
        </is>
      </c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38" t="n"/>
      <c r="L98" s="5">
        <f>K98-K95</f>
        <v/>
      </c>
      <c r="M98" s="47">
        <f>L98/K101</f>
        <v/>
      </c>
      <c r="O98" s="5" t="inlineStr">
        <is>
          <t>时间</t>
        </is>
      </c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38" t="n"/>
      <c r="Z98" s="5">
        <f>Y98-Y95</f>
        <v/>
      </c>
      <c r="AA98" s="47">
        <f>Z98/Y101</f>
        <v/>
      </c>
    </row>
    <row r="99">
      <c r="A99" s="11" t="inlineStr">
        <is>
          <t>容量</t>
        </is>
      </c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39" t="n"/>
      <c r="L99" s="42">
        <f>K99-K96</f>
        <v/>
      </c>
      <c r="M99" s="11">
        <f>L99/K102</f>
        <v/>
      </c>
      <c r="O99" s="11" t="inlineStr">
        <is>
          <t>容量</t>
        </is>
      </c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42">
        <f>Y99-Y96</f>
        <v/>
      </c>
      <c r="AA99" s="11">
        <f>Z99/Y102</f>
        <v/>
      </c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>
      <c r="A101" s="5" t="inlineStr">
        <is>
          <t>时间</t>
        </is>
      </c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5">
        <f>K101-K98</f>
        <v/>
      </c>
      <c r="M101" s="47">
        <f>L101/K101</f>
        <v/>
      </c>
      <c r="O101" s="5" t="inlineStr">
        <is>
          <t>时间</t>
        </is>
      </c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5">
        <f>Y101-Y98</f>
        <v/>
      </c>
      <c r="AA101" s="47">
        <f>Z101/Y101</f>
        <v/>
      </c>
    </row>
    <row r="102">
      <c r="A102" s="11" t="inlineStr">
        <is>
          <t>容量</t>
        </is>
      </c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42">
        <f>K102-K99</f>
        <v/>
      </c>
      <c r="M102" s="11">
        <f>L102/K102</f>
        <v/>
      </c>
      <c r="O102" s="11" t="inlineStr">
        <is>
          <t>容量</t>
        </is>
      </c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42">
        <f>Y102-Y99</f>
        <v/>
      </c>
      <c r="AA102" s="11">
        <f>Z102/Y102</f>
        <v/>
      </c>
    </row>
    <row r="103" ht="14.25" customHeight="1" s="35">
      <c r="A103" s="15" t="inlineStr">
        <is>
          <t>容量</t>
        </is>
      </c>
      <c r="B103" s="16" t="n"/>
      <c r="C103" s="43" t="n"/>
      <c r="D103" s="43" t="n"/>
      <c r="E103" s="44" t="n"/>
      <c r="F103" s="15" t="inlineStr">
        <is>
          <t>能量</t>
        </is>
      </c>
      <c r="G103" s="45" t="n"/>
      <c r="H103" s="43" t="n"/>
      <c r="I103" s="43" t="n"/>
      <c r="J103" s="44" t="n"/>
      <c r="K103" s="15" t="n"/>
      <c r="L103" s="18" t="n"/>
      <c r="M103" s="44" t="n"/>
      <c r="O103" s="15" t="inlineStr">
        <is>
          <t>容量</t>
        </is>
      </c>
      <c r="P103" s="16" t="n"/>
      <c r="Q103" s="43" t="n"/>
      <c r="R103" s="43" t="n"/>
      <c r="S103" s="44" t="n"/>
      <c r="T103" s="15" t="inlineStr">
        <is>
          <t>能量</t>
        </is>
      </c>
      <c r="U103" s="45" t="n"/>
      <c r="V103" s="43" t="n"/>
      <c r="W103" s="43" t="n"/>
      <c r="X103" s="44" t="n"/>
      <c r="Y103" s="15" t="n"/>
      <c r="Z103" s="18" t="n"/>
      <c r="AA103" s="44" t="n"/>
    </row>
    <row r="104" ht="241.05" customHeight="1" s="35">
      <c r="A104" s="18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4" t="n"/>
      <c r="O104" s="18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  <c r="AA104" s="44" t="n"/>
    </row>
    <row r="105"/>
    <row r="106" ht="25.5" customHeight="1" s="35">
      <c r="A106" s="1" t="inlineStr">
        <is>
          <t>数显测试</t>
        </is>
      </c>
      <c r="O106" s="1" t="inlineStr">
        <is>
          <t>数显测试</t>
        </is>
      </c>
    </row>
    <row r="107" ht="25.5" customHeight="1" s="35">
      <c r="A107" s="2" t="inlineStr">
        <is>
          <t xml:space="preserve">PB519  C口  15V充电  1# </t>
        </is>
      </c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1" t="n"/>
      <c r="O107" s="2" t="inlineStr">
        <is>
          <t xml:space="preserve">PB519  C线  15V充电  2# </t>
        </is>
      </c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1" t="n"/>
    </row>
    <row r="108" ht="27" customHeight="1" s="35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inlineStr">
        <is>
          <t>每10%</t>
        </is>
      </c>
      <c r="M108" s="20" t="inlineStr">
        <is>
          <t>占总时长比
占总容量比</t>
        </is>
      </c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inlineStr">
        <is>
          <t>每10%</t>
        </is>
      </c>
      <c r="AA108" s="20" t="inlineStr">
        <is>
          <t>占总时长比
占总容量比</t>
        </is>
      </c>
    </row>
    <row r="109">
      <c r="A109" s="5" t="inlineStr">
        <is>
          <t>时间</t>
        </is>
      </c>
      <c r="B109" s="38" t="n"/>
      <c r="C109" s="38" t="n"/>
      <c r="D109" s="38" t="n"/>
      <c r="E109" s="38" t="n"/>
      <c r="F109" s="38" t="n"/>
      <c r="G109" s="38" t="n"/>
      <c r="H109" s="38" t="n"/>
      <c r="I109" s="38" t="n"/>
      <c r="J109" s="38" t="n"/>
      <c r="K109" s="38" t="n"/>
      <c r="L109" s="5">
        <f>K109-B109</f>
        <v/>
      </c>
      <c r="M109" s="29">
        <f>L109/K136</f>
        <v/>
      </c>
      <c r="O109" s="5" t="inlineStr">
        <is>
          <t>时间</t>
        </is>
      </c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5">
        <f>Y109-P109</f>
        <v/>
      </c>
      <c r="AA109" s="29">
        <f>Z109/Y136</f>
        <v/>
      </c>
    </row>
    <row r="110">
      <c r="A110" s="11" t="inlineStr">
        <is>
          <t>容量</t>
        </is>
      </c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>
        <f>K110-B110</f>
        <v/>
      </c>
      <c r="M110" s="30">
        <f>L110/K137</f>
        <v/>
      </c>
      <c r="O110" s="11" t="inlineStr">
        <is>
          <t>容量</t>
        </is>
      </c>
      <c r="P110" s="46" t="n"/>
      <c r="Q110" s="46" t="n"/>
      <c r="R110" s="46" t="n"/>
      <c r="S110" s="46" t="n"/>
      <c r="T110" s="46" t="n"/>
      <c r="U110" s="46" t="n"/>
      <c r="V110" s="46" t="n"/>
      <c r="W110" s="46" t="n"/>
      <c r="X110" s="46" t="n"/>
      <c r="Y110" s="46" t="n"/>
      <c r="Z110" s="46">
        <f>Y110-P110</f>
        <v/>
      </c>
      <c r="AA110" s="30">
        <f>Z110/Y137</f>
        <v/>
      </c>
    </row>
    <row r="111">
      <c r="A111" s="3" t="n"/>
      <c r="B111" s="3" t="n">
        <v>0.11</v>
      </c>
      <c r="C111" s="3" t="n">
        <v>0.12</v>
      </c>
      <c r="D111" s="3" t="n">
        <v>0.13</v>
      </c>
      <c r="E111" s="3" t="n">
        <v>0.14</v>
      </c>
      <c r="F111" s="3" t="n">
        <v>0.15</v>
      </c>
      <c r="G111" s="3" t="n">
        <v>0.16</v>
      </c>
      <c r="H111" s="3" t="n">
        <v>0.17</v>
      </c>
      <c r="I111" s="3" t="n">
        <v>0.18</v>
      </c>
      <c r="J111" s="3" t="n">
        <v>0.19</v>
      </c>
      <c r="K111" s="3" t="n"/>
      <c r="L111" s="3" t="n"/>
      <c r="M111" s="31" t="n"/>
      <c r="O111" s="3" t="n"/>
      <c r="P111" s="3" t="n">
        <v>0.11</v>
      </c>
      <c r="Q111" s="3" t="n">
        <v>0.12</v>
      </c>
      <c r="R111" s="3" t="n">
        <v>0.13</v>
      </c>
      <c r="S111" s="3" t="n">
        <v>0.14</v>
      </c>
      <c r="T111" s="3" t="n">
        <v>0.15</v>
      </c>
      <c r="U111" s="3" t="n">
        <v>0.16</v>
      </c>
      <c r="V111" s="3" t="n">
        <v>0.17</v>
      </c>
      <c r="W111" s="3" t="n">
        <v>0.18</v>
      </c>
      <c r="X111" s="3" t="n">
        <v>0.19</v>
      </c>
      <c r="Y111" s="3" t="n"/>
      <c r="Z111" s="3" t="n"/>
      <c r="AA111" s="31" t="n"/>
    </row>
    <row r="112">
      <c r="A112" s="5" t="inlineStr">
        <is>
          <t>时间</t>
        </is>
      </c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38" t="n"/>
      <c r="L112" s="5">
        <f>K112-K109</f>
        <v/>
      </c>
      <c r="M112" s="29">
        <f>L112/K136</f>
        <v/>
      </c>
      <c r="O112" s="5" t="inlineStr">
        <is>
          <t>时间</t>
        </is>
      </c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38" t="n"/>
      <c r="Z112" s="5">
        <f>Y112-Y109</f>
        <v/>
      </c>
      <c r="AA112" s="29">
        <f>Z112/Y136</f>
        <v/>
      </c>
    </row>
    <row r="113">
      <c r="A113" s="11" t="inlineStr">
        <is>
          <t>容量</t>
        </is>
      </c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6" t="n"/>
      <c r="L113" s="42">
        <f>K113-K110</f>
        <v/>
      </c>
      <c r="M113" s="30">
        <f>L113/K137</f>
        <v/>
      </c>
      <c r="O113" s="11" t="inlineStr">
        <is>
          <t>容量</t>
        </is>
      </c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6" t="n"/>
      <c r="Z113" s="42">
        <f>Y113-Y110</f>
        <v/>
      </c>
      <c r="AA113" s="30">
        <f>Z113/Y137</f>
        <v/>
      </c>
    </row>
    <row r="114">
      <c r="A114" s="3" t="n"/>
      <c r="B114" s="3" t="n">
        <v>0.21</v>
      </c>
      <c r="C114" s="3" t="n">
        <v>0.22</v>
      </c>
      <c r="D114" s="3" t="n">
        <v>0.23</v>
      </c>
      <c r="E114" s="3" t="n">
        <v>0.24</v>
      </c>
      <c r="F114" s="3" t="n">
        <v>0.25</v>
      </c>
      <c r="G114" s="3" t="n">
        <v>0.26</v>
      </c>
      <c r="H114" s="3" t="n">
        <v>0.27</v>
      </c>
      <c r="I114" s="3" t="n">
        <v>0.28</v>
      </c>
      <c r="J114" s="3" t="n">
        <v>0.29</v>
      </c>
      <c r="K114" s="3" t="n"/>
      <c r="L114" s="3" t="n"/>
      <c r="M114" s="31" t="n"/>
      <c r="O114" s="3" t="n"/>
      <c r="P114" s="3" t="n">
        <v>0.21</v>
      </c>
      <c r="Q114" s="3" t="n">
        <v>0.22</v>
      </c>
      <c r="R114" s="3" t="n">
        <v>0.23</v>
      </c>
      <c r="S114" s="3" t="n">
        <v>0.24</v>
      </c>
      <c r="T114" s="3" t="n">
        <v>0.25</v>
      </c>
      <c r="U114" s="3" t="n">
        <v>0.26</v>
      </c>
      <c r="V114" s="3" t="n">
        <v>0.27</v>
      </c>
      <c r="W114" s="3" t="n">
        <v>0.28</v>
      </c>
      <c r="X114" s="3" t="n">
        <v>0.29</v>
      </c>
      <c r="Y114" s="3" t="n"/>
      <c r="Z114" s="3" t="n"/>
      <c r="AA114" s="31" t="n"/>
    </row>
    <row r="115">
      <c r="A115" s="5" t="inlineStr">
        <is>
          <t>时间</t>
        </is>
      </c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38" t="n"/>
      <c r="L115" s="5">
        <f>K115-K112</f>
        <v/>
      </c>
      <c r="M115" s="29">
        <f>L115/K136</f>
        <v/>
      </c>
      <c r="O115" s="5" t="inlineStr">
        <is>
          <t>时间</t>
        </is>
      </c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38" t="n"/>
      <c r="Z115" s="5">
        <f>Y115-Y112</f>
        <v/>
      </c>
      <c r="AA115" s="29">
        <f>Z115/Y136</f>
        <v/>
      </c>
    </row>
    <row r="116">
      <c r="A116" s="11" t="inlineStr">
        <is>
          <t>容量</t>
        </is>
      </c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6" t="n"/>
      <c r="L116" s="42">
        <f>K116-K113</f>
        <v/>
      </c>
      <c r="M116" s="30">
        <f>L116/K137</f>
        <v/>
      </c>
      <c r="O116" s="11" t="inlineStr">
        <is>
          <t>容量</t>
        </is>
      </c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6" t="n"/>
      <c r="Z116" s="42">
        <f>Y116-Y113</f>
        <v/>
      </c>
      <c r="AA116" s="30">
        <f>Z116/Y137</f>
        <v/>
      </c>
    </row>
    <row r="117">
      <c r="A117" s="3" t="n"/>
      <c r="B117" s="3" t="n">
        <v>0.31</v>
      </c>
      <c r="C117" s="3" t="n">
        <v>0.32</v>
      </c>
      <c r="D117" s="3" t="n">
        <v>0.33</v>
      </c>
      <c r="E117" s="3" t="n">
        <v>0.34</v>
      </c>
      <c r="F117" s="3" t="n">
        <v>0.35</v>
      </c>
      <c r="G117" s="3" t="n">
        <v>0.36</v>
      </c>
      <c r="H117" s="3" t="n">
        <v>0.37</v>
      </c>
      <c r="I117" s="3" t="n">
        <v>0.38</v>
      </c>
      <c r="J117" s="3" t="n">
        <v>0.39</v>
      </c>
      <c r="K117" s="3" t="n"/>
      <c r="L117" s="3" t="n"/>
      <c r="M117" s="31" t="n"/>
      <c r="O117" s="3" t="n"/>
      <c r="P117" s="3" t="n">
        <v>0.31</v>
      </c>
      <c r="Q117" s="3" t="n">
        <v>0.32</v>
      </c>
      <c r="R117" s="3" t="n">
        <v>0.33</v>
      </c>
      <c r="S117" s="3" t="n">
        <v>0.34</v>
      </c>
      <c r="T117" s="3" t="n">
        <v>0.35</v>
      </c>
      <c r="U117" s="3" t="n">
        <v>0.36</v>
      </c>
      <c r="V117" s="3" t="n">
        <v>0.37</v>
      </c>
      <c r="W117" s="3" t="n">
        <v>0.38</v>
      </c>
      <c r="X117" s="3" t="n">
        <v>0.39</v>
      </c>
      <c r="Y117" s="3" t="n"/>
      <c r="Z117" s="3" t="n"/>
      <c r="AA117" s="31" t="n"/>
    </row>
    <row r="118">
      <c r="A118" s="5" t="inlineStr">
        <is>
          <t>时间</t>
        </is>
      </c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38" t="n"/>
      <c r="L118" s="5">
        <f>K118-K115</f>
        <v/>
      </c>
      <c r="M118" s="29">
        <f>L118/K136</f>
        <v/>
      </c>
      <c r="O118" s="5" t="inlineStr">
        <is>
          <t>时间</t>
        </is>
      </c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38" t="n"/>
      <c r="Z118" s="5">
        <f>Y118-Y115</f>
        <v/>
      </c>
      <c r="AA118" s="29">
        <f>Z118/Y136</f>
        <v/>
      </c>
    </row>
    <row r="119">
      <c r="A119" s="11" t="inlineStr">
        <is>
          <t>容量</t>
        </is>
      </c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6" t="n"/>
      <c r="L119" s="42">
        <f>K119-K116</f>
        <v/>
      </c>
      <c r="M119" s="30">
        <f>L119/K137</f>
        <v/>
      </c>
      <c r="O119" s="11" t="inlineStr">
        <is>
          <t>容量</t>
        </is>
      </c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6" t="n"/>
      <c r="Z119" s="42">
        <f>Y119-Y116</f>
        <v/>
      </c>
      <c r="AA119" s="30">
        <f>Z119/Y137</f>
        <v/>
      </c>
    </row>
    <row r="120">
      <c r="A120" s="3" t="n"/>
      <c r="B120" s="3" t="n">
        <v>0.41</v>
      </c>
      <c r="C120" s="3" t="n">
        <v>0.42</v>
      </c>
      <c r="D120" s="3" t="n">
        <v>0.43</v>
      </c>
      <c r="E120" s="3" t="n">
        <v>0.44</v>
      </c>
      <c r="F120" s="3" t="n">
        <v>0.45</v>
      </c>
      <c r="G120" s="3" t="n">
        <v>0.46</v>
      </c>
      <c r="H120" s="3" t="n">
        <v>0.47</v>
      </c>
      <c r="I120" s="3" t="n">
        <v>0.48</v>
      </c>
      <c r="J120" s="3" t="n">
        <v>0.49</v>
      </c>
      <c r="K120" s="3" t="n"/>
      <c r="L120" s="3" t="n"/>
      <c r="M120" s="31" t="n"/>
      <c r="O120" s="3" t="n"/>
      <c r="P120" s="3" t="n">
        <v>0.41</v>
      </c>
      <c r="Q120" s="3" t="n">
        <v>0.42</v>
      </c>
      <c r="R120" s="3" t="n">
        <v>0.43</v>
      </c>
      <c r="S120" s="3" t="n">
        <v>0.44</v>
      </c>
      <c r="T120" s="3" t="n">
        <v>0.45</v>
      </c>
      <c r="U120" s="3" t="n">
        <v>0.46</v>
      </c>
      <c r="V120" s="3" t="n">
        <v>0.47</v>
      </c>
      <c r="W120" s="3" t="n">
        <v>0.48</v>
      </c>
      <c r="X120" s="3" t="n">
        <v>0.49</v>
      </c>
      <c r="Y120" s="3" t="n"/>
      <c r="Z120" s="3" t="n"/>
      <c r="AA120" s="31" t="n"/>
    </row>
    <row r="121">
      <c r="A121" s="5" t="inlineStr">
        <is>
          <t>时间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38" t="n"/>
      <c r="L121" s="5">
        <f>K121-K118</f>
        <v/>
      </c>
      <c r="M121" s="29">
        <f>L121/K136</f>
        <v/>
      </c>
      <c r="O121" s="5" t="inlineStr">
        <is>
          <t>时间</t>
        </is>
      </c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38" t="n"/>
      <c r="Z121" s="5">
        <f>Y121-Y118</f>
        <v/>
      </c>
      <c r="AA121" s="29">
        <f>Z121/Y136</f>
        <v/>
      </c>
    </row>
    <row r="122">
      <c r="A122" s="11" t="inlineStr">
        <is>
          <t>容量</t>
        </is>
      </c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6" t="n"/>
      <c r="L122" s="42">
        <f>K122-K119</f>
        <v/>
      </c>
      <c r="M122" s="30">
        <f>L122/K137</f>
        <v/>
      </c>
      <c r="O122" s="11" t="inlineStr">
        <is>
          <t>容量</t>
        </is>
      </c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6" t="n"/>
      <c r="Z122" s="42">
        <f>Y122-Y119</f>
        <v/>
      </c>
      <c r="AA122" s="30">
        <f>Z122/Y137</f>
        <v/>
      </c>
    </row>
    <row r="123">
      <c r="A123" s="3" t="n"/>
      <c r="B123" s="3" t="n">
        <v>0.51</v>
      </c>
      <c r="C123" s="3" t="n">
        <v>0.52</v>
      </c>
      <c r="D123" s="3" t="n">
        <v>0.53</v>
      </c>
      <c r="E123" s="3" t="n">
        <v>0.54</v>
      </c>
      <c r="F123" s="3" t="n">
        <v>0.55</v>
      </c>
      <c r="G123" s="3" t="n">
        <v>0.5600000000000001</v>
      </c>
      <c r="H123" s="3" t="n">
        <v>0.57</v>
      </c>
      <c r="I123" s="3" t="n">
        <v>0.58</v>
      </c>
      <c r="J123" s="3" t="n">
        <v>0.59</v>
      </c>
      <c r="K123" s="3" t="n"/>
      <c r="L123" s="3" t="n"/>
      <c r="M123" s="31" t="n"/>
      <c r="O123" s="3" t="n"/>
      <c r="P123" s="3" t="n">
        <v>0.51</v>
      </c>
      <c r="Q123" s="3" t="n">
        <v>0.52</v>
      </c>
      <c r="R123" s="3" t="n">
        <v>0.53</v>
      </c>
      <c r="S123" s="3" t="n">
        <v>0.54</v>
      </c>
      <c r="T123" s="3" t="n">
        <v>0.55</v>
      </c>
      <c r="U123" s="3" t="n">
        <v>0.5600000000000001</v>
      </c>
      <c r="V123" s="3" t="n">
        <v>0.57</v>
      </c>
      <c r="W123" s="3" t="n">
        <v>0.58</v>
      </c>
      <c r="X123" s="3" t="n">
        <v>0.59</v>
      </c>
      <c r="Y123" s="3" t="n"/>
      <c r="Z123" s="3" t="n"/>
      <c r="AA123" s="31" t="n"/>
    </row>
    <row r="124">
      <c r="A124" s="5" t="inlineStr">
        <is>
          <t>时间</t>
        </is>
      </c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38" t="n"/>
      <c r="L124" s="5">
        <f>K124-K121</f>
        <v/>
      </c>
      <c r="M124" s="29">
        <f>L124/K136</f>
        <v/>
      </c>
      <c r="O124" s="5" t="inlineStr">
        <is>
          <t>时间</t>
        </is>
      </c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38" t="n"/>
      <c r="Z124" s="5">
        <f>Y124-Y121</f>
        <v/>
      </c>
      <c r="AA124" s="29">
        <f>Z124/Y136</f>
        <v/>
      </c>
    </row>
    <row r="125">
      <c r="A125" s="11" t="inlineStr">
        <is>
          <t>容量</t>
        </is>
      </c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6" t="n"/>
      <c r="L125" s="42">
        <f>K125-K122</f>
        <v/>
      </c>
      <c r="M125" s="30">
        <f>L125/K137</f>
        <v/>
      </c>
      <c r="O125" s="11" t="inlineStr">
        <is>
          <t>容量</t>
        </is>
      </c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6" t="n"/>
      <c r="Z125" s="42">
        <f>Y125-Y122</f>
        <v/>
      </c>
      <c r="AA125" s="30">
        <f>Z125/Y137</f>
        <v/>
      </c>
    </row>
    <row r="126">
      <c r="A126" s="3" t="n"/>
      <c r="B126" s="3" t="n">
        <v>0.61</v>
      </c>
      <c r="C126" s="3" t="n">
        <v>0.62</v>
      </c>
      <c r="D126" s="3" t="n">
        <v>0.63</v>
      </c>
      <c r="E126" s="3" t="n">
        <v>0.64</v>
      </c>
      <c r="F126" s="3" t="n">
        <v>0.65</v>
      </c>
      <c r="G126" s="3" t="n">
        <v>0.66</v>
      </c>
      <c r="H126" s="3" t="n">
        <v>0.67</v>
      </c>
      <c r="I126" s="3" t="n">
        <v>0.68</v>
      </c>
      <c r="J126" s="3" t="n">
        <v>0.6899999999999999</v>
      </c>
      <c r="K126" s="3" t="n"/>
      <c r="L126" s="3" t="n"/>
      <c r="M126" s="31" t="n"/>
      <c r="O126" s="3" t="n"/>
      <c r="P126" s="3" t="n">
        <v>0.61</v>
      </c>
      <c r="Q126" s="3" t="n">
        <v>0.62</v>
      </c>
      <c r="R126" s="3" t="n">
        <v>0.63</v>
      </c>
      <c r="S126" s="3" t="n">
        <v>0.64</v>
      </c>
      <c r="T126" s="3" t="n">
        <v>0.65</v>
      </c>
      <c r="U126" s="3" t="n">
        <v>0.66</v>
      </c>
      <c r="V126" s="3" t="n">
        <v>0.67</v>
      </c>
      <c r="W126" s="3" t="n">
        <v>0.68</v>
      </c>
      <c r="X126" s="3" t="n">
        <v>0.6899999999999999</v>
      </c>
      <c r="Y126" s="3" t="n"/>
      <c r="Z126" s="3" t="n"/>
      <c r="AA126" s="31" t="n"/>
    </row>
    <row r="127">
      <c r="A127" s="5" t="inlineStr">
        <is>
          <t>时间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38" t="n"/>
      <c r="L127" s="5">
        <f>K127-K124</f>
        <v/>
      </c>
      <c r="M127" s="29">
        <f>L127/K136</f>
        <v/>
      </c>
      <c r="O127" s="5" t="inlineStr">
        <is>
          <t>时间</t>
        </is>
      </c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38" t="n"/>
      <c r="Z127" s="5">
        <f>Y127-Y124</f>
        <v/>
      </c>
      <c r="AA127" s="29">
        <f>Z127/Y136</f>
        <v/>
      </c>
    </row>
    <row r="128">
      <c r="A128" s="11" t="inlineStr">
        <is>
          <t>容量</t>
        </is>
      </c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6" t="n"/>
      <c r="L128" s="42">
        <f>K128-K125</f>
        <v/>
      </c>
      <c r="M128" s="30">
        <f>L128/K137</f>
        <v/>
      </c>
      <c r="O128" s="11" t="inlineStr">
        <is>
          <t>容量</t>
        </is>
      </c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6" t="n"/>
      <c r="Z128" s="42">
        <f>Y128-Y125</f>
        <v/>
      </c>
      <c r="AA128" s="30">
        <f>Z128/Y137</f>
        <v/>
      </c>
    </row>
    <row r="129">
      <c r="A129" s="3" t="n"/>
      <c r="B129" s="3" t="n">
        <v>0.71</v>
      </c>
      <c r="C129" s="3" t="n">
        <v>0.72</v>
      </c>
      <c r="D129" s="3" t="n">
        <v>0.73</v>
      </c>
      <c r="E129" s="3" t="n">
        <v>0.74</v>
      </c>
      <c r="F129" s="3" t="n">
        <v>0.75</v>
      </c>
      <c r="G129" s="3" t="n">
        <v>0.76</v>
      </c>
      <c r="H129" s="3" t="n">
        <v>0.77</v>
      </c>
      <c r="I129" s="3" t="n">
        <v>0.78</v>
      </c>
      <c r="J129" s="3" t="n">
        <v>0.79</v>
      </c>
      <c r="K129" s="3" t="n"/>
      <c r="L129" s="3" t="n"/>
      <c r="M129" s="31" t="n"/>
      <c r="O129" s="3" t="n"/>
      <c r="P129" s="3" t="n">
        <v>0.71</v>
      </c>
      <c r="Q129" s="3" t="n">
        <v>0.72</v>
      </c>
      <c r="R129" s="3" t="n">
        <v>0.73</v>
      </c>
      <c r="S129" s="3" t="n">
        <v>0.74</v>
      </c>
      <c r="T129" s="3" t="n">
        <v>0.75</v>
      </c>
      <c r="U129" s="3" t="n">
        <v>0.76</v>
      </c>
      <c r="V129" s="3" t="n">
        <v>0.77</v>
      </c>
      <c r="W129" s="3" t="n">
        <v>0.78</v>
      </c>
      <c r="X129" s="3" t="n">
        <v>0.79</v>
      </c>
      <c r="Y129" s="3" t="n"/>
      <c r="Z129" s="3" t="n"/>
      <c r="AA129" s="31" t="n"/>
    </row>
    <row r="130">
      <c r="A130" s="5" t="inlineStr">
        <is>
          <t>时间</t>
        </is>
      </c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38" t="n"/>
      <c r="L130" s="5">
        <f>K130-K127</f>
        <v/>
      </c>
      <c r="M130" s="29">
        <f>L130/K136</f>
        <v/>
      </c>
      <c r="O130" s="5" t="inlineStr">
        <is>
          <t>时间</t>
        </is>
      </c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38" t="n"/>
      <c r="Z130" s="5">
        <f>Y130-Y127</f>
        <v/>
      </c>
      <c r="AA130" s="29">
        <f>Z130/Y136</f>
        <v/>
      </c>
    </row>
    <row r="131">
      <c r="A131" s="11" t="inlineStr">
        <is>
          <t>容量</t>
        </is>
      </c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6" t="n"/>
      <c r="L131" s="42">
        <f>K131-K128</f>
        <v/>
      </c>
      <c r="M131" s="30">
        <f>L131/K137</f>
        <v/>
      </c>
      <c r="O131" s="11" t="inlineStr">
        <is>
          <t>容量</t>
        </is>
      </c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6" t="n"/>
      <c r="Z131" s="42">
        <f>Y131-Y128</f>
        <v/>
      </c>
      <c r="AA131" s="30">
        <f>Z131/Y137</f>
        <v/>
      </c>
    </row>
    <row r="132">
      <c r="A132" s="3" t="n"/>
      <c r="B132" s="3" t="n">
        <v>0.8100000000000001</v>
      </c>
      <c r="C132" s="3" t="n">
        <v>0.82</v>
      </c>
      <c r="D132" s="3" t="n">
        <v>0.83</v>
      </c>
      <c r="E132" s="3" t="n">
        <v>0.84</v>
      </c>
      <c r="F132" s="3" t="n">
        <v>0.85</v>
      </c>
      <c r="G132" s="3" t="n">
        <v>0.86</v>
      </c>
      <c r="H132" s="3" t="n">
        <v>0.87</v>
      </c>
      <c r="I132" s="3" t="n">
        <v>0.88</v>
      </c>
      <c r="J132" s="3" t="n">
        <v>0.89</v>
      </c>
      <c r="K132" s="3" t="n"/>
      <c r="L132" s="3" t="n"/>
      <c r="M132" s="31" t="n"/>
      <c r="O132" s="3" t="n"/>
      <c r="P132" s="3" t="n">
        <v>0.8100000000000001</v>
      </c>
      <c r="Q132" s="3" t="n">
        <v>0.82</v>
      </c>
      <c r="R132" s="3" t="n">
        <v>0.83</v>
      </c>
      <c r="S132" s="3" t="n">
        <v>0.84</v>
      </c>
      <c r="T132" s="3" t="n">
        <v>0.85</v>
      </c>
      <c r="U132" s="3" t="n">
        <v>0.86</v>
      </c>
      <c r="V132" s="3" t="n">
        <v>0.87</v>
      </c>
      <c r="W132" s="3" t="n">
        <v>0.88</v>
      </c>
      <c r="X132" s="3" t="n">
        <v>0.89</v>
      </c>
      <c r="Y132" s="3" t="n"/>
      <c r="Z132" s="3" t="n"/>
      <c r="AA132" s="31" t="n"/>
    </row>
    <row r="133">
      <c r="A133" s="5" t="inlineStr">
        <is>
          <t>时间</t>
        </is>
      </c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38" t="n"/>
      <c r="L133" s="5">
        <f>K133-K130</f>
        <v/>
      </c>
      <c r="M133" s="29">
        <f>L133/K136</f>
        <v/>
      </c>
      <c r="O133" s="5" t="inlineStr">
        <is>
          <t>时间</t>
        </is>
      </c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38" t="n"/>
      <c r="Z133" s="5">
        <f>Y133-Y130</f>
        <v/>
      </c>
      <c r="AA133" s="29">
        <f>Z133/Y136</f>
        <v/>
      </c>
    </row>
    <row r="134">
      <c r="A134" s="11" t="inlineStr">
        <is>
          <t>容量</t>
        </is>
      </c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6" t="n"/>
      <c r="L134" s="42">
        <f>K134-K131</f>
        <v/>
      </c>
      <c r="M134" s="30">
        <f>L134/K137</f>
        <v/>
      </c>
      <c r="O134" s="11" t="inlineStr">
        <is>
          <t>容量</t>
        </is>
      </c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6" t="n"/>
      <c r="Y134" s="46" t="n"/>
      <c r="Z134" s="42">
        <f>Y134-Y131</f>
        <v/>
      </c>
      <c r="AA134" s="30">
        <f>Z134/Y137</f>
        <v/>
      </c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1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1" t="n"/>
    </row>
    <row r="136">
      <c r="A136" s="5" t="inlineStr">
        <is>
          <t>时间</t>
        </is>
      </c>
      <c r="B136" s="38" t="n"/>
      <c r="C136" s="38" t="n"/>
      <c r="D136" s="38" t="n"/>
      <c r="E136" s="38" t="n"/>
      <c r="F136" s="38" t="n"/>
      <c r="G136" s="38" t="n"/>
      <c r="H136" s="38" t="n"/>
      <c r="I136" s="38" t="n"/>
      <c r="J136" s="38" t="n"/>
      <c r="K136" s="38" t="n"/>
      <c r="L136" s="5">
        <f>K136-K133</f>
        <v/>
      </c>
      <c r="M136" s="29">
        <f>L136/K136</f>
        <v/>
      </c>
      <c r="O136" s="5" t="inlineStr">
        <is>
          <t>时间</t>
        </is>
      </c>
      <c r="P136" s="38" t="n"/>
      <c r="Q136" s="38" t="n"/>
      <c r="R136" s="38" t="n"/>
      <c r="S136" s="38" t="n"/>
      <c r="T136" s="38" t="n"/>
      <c r="U136" s="38" t="n"/>
      <c r="V136" s="38" t="n"/>
      <c r="W136" s="38" t="n"/>
      <c r="X136" s="38" t="n"/>
      <c r="Y136" s="38" t="n"/>
      <c r="Z136" s="5">
        <f>Y136-Y133</f>
        <v/>
      </c>
      <c r="AA136" s="29">
        <f>Z136/Y136</f>
        <v/>
      </c>
    </row>
    <row r="137">
      <c r="A137" s="11" t="inlineStr">
        <is>
          <t>容量</t>
        </is>
      </c>
      <c r="B137" s="46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>
        <f>K137-K134</f>
        <v/>
      </c>
      <c r="M137" s="30">
        <f>L137/K137</f>
        <v/>
      </c>
      <c r="O137" s="11" t="inlineStr">
        <is>
          <t>容量</t>
        </is>
      </c>
      <c r="P137" s="46" t="n"/>
      <c r="Q137" s="46" t="n"/>
      <c r="R137" s="46" t="n"/>
      <c r="S137" s="46" t="n"/>
      <c r="T137" s="46" t="n"/>
      <c r="U137" s="46" t="n"/>
      <c r="V137" s="46" t="n"/>
      <c r="W137" s="46" t="n"/>
      <c r="X137" s="46" t="n"/>
      <c r="Y137" s="46" t="n"/>
      <c r="Z137" s="46">
        <f>Y137-Y134</f>
        <v/>
      </c>
      <c r="AA137" s="30">
        <f>Z137/Y137</f>
        <v/>
      </c>
    </row>
    <row r="138" ht="14.25" customHeight="1" s="35">
      <c r="A138" s="15" t="inlineStr">
        <is>
          <t>容量</t>
        </is>
      </c>
      <c r="B138" s="16" t="n"/>
      <c r="C138" s="43" t="n"/>
      <c r="D138" s="43" t="n"/>
      <c r="E138" s="44" t="n"/>
      <c r="F138" s="15" t="inlineStr">
        <is>
          <t>能量</t>
        </is>
      </c>
      <c r="G138" s="45" t="n"/>
      <c r="H138" s="43" t="n"/>
      <c r="I138" s="43" t="n"/>
      <c r="J138" s="44" t="n"/>
      <c r="K138" s="15" t="n"/>
      <c r="L138" s="18" t="n"/>
      <c r="M138" s="44" t="n"/>
      <c r="O138" s="15" t="inlineStr">
        <is>
          <t>容量</t>
        </is>
      </c>
      <c r="P138" s="16" t="n"/>
      <c r="Q138" s="43" t="n"/>
      <c r="R138" s="43" t="n"/>
      <c r="S138" s="44" t="n"/>
      <c r="T138" s="15" t="inlineStr">
        <is>
          <t>能量</t>
        </is>
      </c>
      <c r="U138" s="45" t="n"/>
      <c r="V138" s="43" t="n"/>
      <c r="W138" s="43" t="n"/>
      <c r="X138" s="44" t="n"/>
      <c r="Y138" s="15" t="n"/>
      <c r="Z138" s="18" t="n"/>
      <c r="AA138" s="44" t="n"/>
    </row>
    <row r="139" ht="241.05" customHeight="1" s="35">
      <c r="A139" s="18" t="n"/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4" t="n"/>
      <c r="O139" s="18" t="inlineStr">
        <is>
          <t xml:space="preserve">gai </t>
        </is>
      </c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  <c r="AA139" s="44" t="n"/>
    </row>
  </sheetData>
  <mergeCells count="48">
    <mergeCell ref="O104:AA104"/>
    <mergeCell ref="U33:X33"/>
    <mergeCell ref="O71:AA71"/>
    <mergeCell ref="A106:M106"/>
    <mergeCell ref="B68:E68"/>
    <mergeCell ref="L103:M103"/>
    <mergeCell ref="B33:E33"/>
    <mergeCell ref="P68:S68"/>
    <mergeCell ref="G138:J138"/>
    <mergeCell ref="A72:M72"/>
    <mergeCell ref="U138:X138"/>
    <mergeCell ref="O2:AA2"/>
    <mergeCell ref="P33:S33"/>
    <mergeCell ref="O72:AA72"/>
    <mergeCell ref="L68:M68"/>
    <mergeCell ref="O37:AA37"/>
    <mergeCell ref="O106:AA106"/>
    <mergeCell ref="A34:M34"/>
    <mergeCell ref="B138:E138"/>
    <mergeCell ref="L33:M33"/>
    <mergeCell ref="O34:AA34"/>
    <mergeCell ref="P138:S138"/>
    <mergeCell ref="A107:M107"/>
    <mergeCell ref="A36:M36"/>
    <mergeCell ref="Z68:AA68"/>
    <mergeCell ref="A1:M1"/>
    <mergeCell ref="O107:AA107"/>
    <mergeCell ref="O36:AA36"/>
    <mergeCell ref="Z33:AA33"/>
    <mergeCell ref="L138:M138"/>
    <mergeCell ref="A69:M69"/>
    <mergeCell ref="G103:J103"/>
    <mergeCell ref="A2:M2"/>
    <mergeCell ref="A71:M71"/>
    <mergeCell ref="O1:AA1"/>
    <mergeCell ref="Z138:AA138"/>
    <mergeCell ref="A37:M37"/>
    <mergeCell ref="Z103:AA103"/>
    <mergeCell ref="A139:M139"/>
    <mergeCell ref="G68:J68"/>
    <mergeCell ref="O69:AA69"/>
    <mergeCell ref="B103:E103"/>
    <mergeCell ref="G33:J33"/>
    <mergeCell ref="U68:X68"/>
    <mergeCell ref="U103:X103"/>
    <mergeCell ref="A104:M104"/>
    <mergeCell ref="P103:S103"/>
    <mergeCell ref="O139:AA1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4"/>
  <sheetViews>
    <sheetView topLeftCell="A19" zoomScale="70" zoomScaleNormal="70" workbookViewId="0">
      <selection activeCell="O174" sqref="O174:AA174"/>
    </sheetView>
  </sheetViews>
  <sheetFormatPr baseColWidth="8" defaultColWidth="9" defaultRowHeight="13.5"/>
  <cols>
    <col width="9.375" customWidth="1" style="35" min="2" max="11"/>
    <col width="10.7666666666667" customWidth="1" style="35" min="12" max="12"/>
    <col width="9.925000000000001" customWidth="1" style="35" min="13" max="13"/>
    <col width="9.375" customWidth="1" style="35" min="16" max="25"/>
    <col width="9.925000000000001" customWidth="1" style="35" min="27" max="27"/>
  </cols>
  <sheetData>
    <row r="1" ht="25.5" customHeight="1" s="35">
      <c r="A1" s="1" t="inlineStr">
        <is>
          <t>数显测试</t>
        </is>
      </c>
      <c r="O1" s="1" t="inlineStr">
        <is>
          <t>数显测试</t>
        </is>
      </c>
    </row>
    <row r="2" ht="25.5" customHeight="1" s="35">
      <c r="A2" s="2" t="inlineStr">
        <is>
          <t xml:space="preserve">PB519  C口  5V放电  1# 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1" t="n"/>
      <c r="O2" s="2" t="inlineStr">
        <is>
          <t xml:space="preserve">PB519  C线  5V放电  2# </t>
        </is>
      </c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1" t="n"/>
    </row>
    <row r="3" ht="14" customHeight="1" s="35">
      <c r="A3" s="3" t="n"/>
      <c r="B3" s="4" t="n">
        <v>0.99</v>
      </c>
      <c r="C3" s="3" t="n">
        <v>0.98</v>
      </c>
      <c r="D3" s="3" t="n">
        <v>0.97</v>
      </c>
      <c r="E3" s="3" t="n">
        <v>0.96</v>
      </c>
      <c r="F3" s="3" t="n">
        <v>0.95</v>
      </c>
      <c r="G3" s="3" t="n">
        <v>0.9399999999999999</v>
      </c>
      <c r="H3" s="3" t="n">
        <v>0.93</v>
      </c>
      <c r="I3" s="3" t="n">
        <v>0.92</v>
      </c>
      <c r="J3" s="3" t="n">
        <v>0.91</v>
      </c>
      <c r="K3" s="19" t="n">
        <v>0.9</v>
      </c>
      <c r="L3" s="3" t="inlineStr">
        <is>
          <t>每10%</t>
        </is>
      </c>
      <c r="M3" s="20" t="inlineStr">
        <is>
          <t>占总时长比
占总容量比</t>
        </is>
      </c>
      <c r="O3" s="3" t="n"/>
      <c r="P3" s="4" t="n">
        <v>0.99</v>
      </c>
      <c r="Q3" s="3" t="n">
        <v>0.98</v>
      </c>
      <c r="R3" s="3" t="n">
        <v>0.97</v>
      </c>
      <c r="S3" s="3" t="n">
        <v>0.96</v>
      </c>
      <c r="T3" s="3" t="n">
        <v>0.95</v>
      </c>
      <c r="U3" s="3" t="n">
        <v>0.9399999999999999</v>
      </c>
      <c r="V3" s="3" t="n">
        <v>0.93</v>
      </c>
      <c r="W3" s="3" t="n">
        <v>0.92</v>
      </c>
      <c r="X3" s="3" t="n">
        <v>0.91</v>
      </c>
      <c r="Y3" s="19" t="n">
        <v>0.9</v>
      </c>
      <c r="Z3" s="3" t="inlineStr">
        <is>
          <t>每10%</t>
        </is>
      </c>
      <c r="AA3" s="20" t="inlineStr">
        <is>
          <t>占总时长比
占总容量比</t>
        </is>
      </c>
    </row>
    <row r="4">
      <c r="A4" s="5" t="inlineStr">
        <is>
          <t>时间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10" t="n"/>
      <c r="K4" s="21" t="n"/>
      <c r="L4" s="5">
        <f>K4-B4</f>
        <v/>
      </c>
      <c r="M4" s="48">
        <f>L4/K31</f>
        <v/>
      </c>
      <c r="O4" s="5" t="inlineStr">
        <is>
          <t>时间</t>
        </is>
      </c>
      <c r="P4" s="6" t="n"/>
      <c r="Q4" s="6" t="n"/>
      <c r="R4" s="6" t="n"/>
      <c r="S4" s="6" t="n"/>
      <c r="T4" s="6" t="n"/>
      <c r="U4" s="6" t="n"/>
      <c r="V4" s="6" t="n"/>
      <c r="W4" s="6" t="n"/>
      <c r="X4" s="10" t="n"/>
      <c r="Y4" s="21" t="n"/>
      <c r="Z4" s="5">
        <f>Y4-P4</f>
        <v/>
      </c>
      <c r="AA4" s="48">
        <f>Z4/Y31</f>
        <v/>
      </c>
    </row>
    <row r="5">
      <c r="A5" s="7" t="inlineStr">
        <is>
          <t>容量</t>
        </is>
      </c>
      <c r="B5" s="49" t="n"/>
      <c r="C5" s="50" t="n"/>
      <c r="D5" s="50" t="n"/>
      <c r="E5" s="50" t="n"/>
      <c r="F5" s="50" t="n"/>
      <c r="G5" s="50" t="n"/>
      <c r="H5" s="50" t="n"/>
      <c r="I5" s="50" t="n"/>
      <c r="J5" s="50" t="n"/>
      <c r="K5" s="51" t="n"/>
      <c r="L5" s="50">
        <f>K5-B5</f>
        <v/>
      </c>
      <c r="M5" s="52">
        <f>L5/K32</f>
        <v/>
      </c>
      <c r="O5" s="11" t="inlineStr">
        <is>
          <t>容量</t>
        </is>
      </c>
      <c r="P5" s="49" t="n"/>
      <c r="Q5" s="50" t="n"/>
      <c r="R5" s="50" t="n"/>
      <c r="S5" s="50" t="n"/>
      <c r="T5" s="50" t="n"/>
      <c r="U5" s="50" t="n"/>
      <c r="V5" s="50" t="n"/>
      <c r="W5" s="50" t="n"/>
      <c r="X5" s="50" t="n"/>
      <c r="Y5" s="51" t="n"/>
      <c r="Z5" s="50">
        <f>Y5-P5</f>
        <v/>
      </c>
      <c r="AA5" s="52">
        <f>Z5/Y32</f>
        <v/>
      </c>
    </row>
    <row r="6">
      <c r="A6" s="3" t="n"/>
      <c r="B6" s="4" t="n">
        <v>0.89</v>
      </c>
      <c r="C6" s="3" t="n">
        <v>0.88</v>
      </c>
      <c r="D6" s="3" t="n">
        <v>0.87</v>
      </c>
      <c r="E6" s="3" t="n">
        <v>0.86</v>
      </c>
      <c r="F6" s="3" t="n">
        <v>0.85</v>
      </c>
      <c r="G6" s="3" t="n">
        <v>0.84</v>
      </c>
      <c r="H6" s="3" t="n">
        <v>0.83</v>
      </c>
      <c r="I6" s="3" t="n">
        <v>0.82</v>
      </c>
      <c r="J6" s="3" t="n">
        <v>0.8100000000000001</v>
      </c>
      <c r="K6" s="19" t="n">
        <v>0.8</v>
      </c>
      <c r="L6" s="3" t="n"/>
      <c r="M6" s="53" t="n"/>
      <c r="O6" s="3" t="n"/>
      <c r="P6" s="4" t="n">
        <v>0.89</v>
      </c>
      <c r="Q6" s="3" t="n">
        <v>0.88</v>
      </c>
      <c r="R6" s="3" t="n">
        <v>0.87</v>
      </c>
      <c r="S6" s="3" t="n">
        <v>0.86</v>
      </c>
      <c r="T6" s="3" t="n">
        <v>0.85</v>
      </c>
      <c r="U6" s="3" t="n">
        <v>0.84</v>
      </c>
      <c r="V6" s="3" t="n">
        <v>0.83</v>
      </c>
      <c r="W6" s="3" t="n">
        <v>0.82</v>
      </c>
      <c r="X6" s="3" t="n">
        <v>0.8100000000000001</v>
      </c>
      <c r="Y6" s="19" t="n">
        <v>0.8</v>
      </c>
      <c r="Z6" s="3" t="n"/>
      <c r="AA6" s="53" t="n"/>
    </row>
    <row r="7">
      <c r="A7" s="5" t="inlineStr">
        <is>
          <t>时间</t>
        </is>
      </c>
      <c r="B7" s="6" t="n"/>
      <c r="C7" s="10" t="n"/>
      <c r="D7" s="10" t="n"/>
      <c r="E7" s="10" t="n"/>
      <c r="F7" s="10" t="n"/>
      <c r="G7" s="10" t="n"/>
      <c r="H7" s="10" t="n"/>
      <c r="I7" s="10" t="n"/>
      <c r="J7" s="10" t="n"/>
      <c r="K7" s="21" t="n"/>
      <c r="L7" s="5">
        <f>K7-K4</f>
        <v/>
      </c>
      <c r="M7" s="48">
        <f>L7/K31</f>
        <v/>
      </c>
      <c r="O7" s="5" t="inlineStr">
        <is>
          <t>时间</t>
        </is>
      </c>
      <c r="P7" s="6" t="n"/>
      <c r="Q7" s="10" t="n"/>
      <c r="R7" s="10" t="n"/>
      <c r="S7" s="10" t="n"/>
      <c r="T7" s="10" t="n"/>
      <c r="U7" s="10" t="n"/>
      <c r="V7" s="10" t="n"/>
      <c r="W7" s="10" t="n"/>
      <c r="X7" s="10" t="n"/>
      <c r="Y7" s="21" t="n"/>
      <c r="Z7" s="5">
        <f>Y7-Y4</f>
        <v/>
      </c>
      <c r="AA7" s="48">
        <f>Z7/Y31</f>
        <v/>
      </c>
    </row>
    <row r="8">
      <c r="A8" s="11" t="inlineStr">
        <is>
          <t>容量</t>
        </is>
      </c>
      <c r="B8" s="54" t="n"/>
      <c r="C8" s="55" t="n"/>
      <c r="D8" s="55" t="n"/>
      <c r="E8" s="55" t="n"/>
      <c r="F8" s="55" t="n"/>
      <c r="G8" s="55" t="n"/>
      <c r="H8" s="55" t="n"/>
      <c r="I8" s="55" t="n"/>
      <c r="J8" s="42" t="n"/>
      <c r="K8" s="51" t="n"/>
      <c r="L8" s="50">
        <f>K8-K5</f>
        <v/>
      </c>
      <c r="M8" s="52">
        <f>L8/K32</f>
        <v/>
      </c>
      <c r="O8" s="11" t="inlineStr">
        <is>
          <t>容量</t>
        </is>
      </c>
      <c r="P8" s="54" t="n"/>
      <c r="Q8" s="55" t="n"/>
      <c r="R8" s="55" t="n"/>
      <c r="S8" s="55" t="n"/>
      <c r="T8" s="55" t="n"/>
      <c r="U8" s="55" t="n"/>
      <c r="V8" s="55" t="n"/>
      <c r="W8" s="55" t="n"/>
      <c r="X8" s="42" t="n"/>
      <c r="Y8" s="51" t="n"/>
      <c r="Z8" s="50">
        <f>Y8-Y5</f>
        <v/>
      </c>
      <c r="AA8" s="52">
        <f>Z8/Y32</f>
        <v/>
      </c>
    </row>
    <row r="9">
      <c r="A9" s="3" t="n"/>
      <c r="B9" s="4" t="n">
        <v>0.79</v>
      </c>
      <c r="C9" s="3" t="n">
        <v>0.78</v>
      </c>
      <c r="D9" s="3" t="n">
        <v>0.77</v>
      </c>
      <c r="E9" s="3" t="n">
        <v>0.76</v>
      </c>
      <c r="F9" s="3" t="n">
        <v>0.75</v>
      </c>
      <c r="G9" s="3" t="n">
        <v>0.74</v>
      </c>
      <c r="H9" s="3" t="n">
        <v>0.73</v>
      </c>
      <c r="I9" s="3" t="n">
        <v>0.72</v>
      </c>
      <c r="J9" s="3" t="n">
        <v>0.71</v>
      </c>
      <c r="K9" s="19" t="n">
        <v>0.7</v>
      </c>
      <c r="L9" s="3" t="n"/>
      <c r="M9" s="53" t="n"/>
      <c r="O9" s="3" t="n"/>
      <c r="P9" s="4" t="n">
        <v>0.79</v>
      </c>
      <c r="Q9" s="3" t="n">
        <v>0.78</v>
      </c>
      <c r="R9" s="3" t="n">
        <v>0.77</v>
      </c>
      <c r="S9" s="3" t="n">
        <v>0.76</v>
      </c>
      <c r="T9" s="3" t="n">
        <v>0.75</v>
      </c>
      <c r="U9" s="3" t="n">
        <v>0.74</v>
      </c>
      <c r="V9" s="3" t="n">
        <v>0.73</v>
      </c>
      <c r="W9" s="3" t="n">
        <v>0.72</v>
      </c>
      <c r="X9" s="3" t="n">
        <v>0.71</v>
      </c>
      <c r="Y9" s="19" t="n">
        <v>0.7</v>
      </c>
      <c r="Z9" s="3" t="n"/>
      <c r="AA9" s="53" t="n"/>
    </row>
    <row r="10">
      <c r="A10" s="5" t="inlineStr">
        <is>
          <t>时间</t>
        </is>
      </c>
      <c r="B10" s="6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21" t="n"/>
      <c r="L10" s="5">
        <f>K10-K7</f>
        <v/>
      </c>
      <c r="M10" s="48">
        <f>L10/K31</f>
        <v/>
      </c>
      <c r="O10" s="5" t="inlineStr">
        <is>
          <t>时间</t>
        </is>
      </c>
      <c r="P10" s="6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21" t="n"/>
      <c r="Z10" s="5">
        <f>Y10-Y7</f>
        <v/>
      </c>
      <c r="AA10" s="48">
        <f>Z10/Y31</f>
        <v/>
      </c>
    </row>
    <row r="11">
      <c r="A11" s="11" t="inlineStr">
        <is>
          <t>容量</t>
        </is>
      </c>
      <c r="B11" s="54" t="n"/>
      <c r="C11" s="55" t="n"/>
      <c r="D11" s="55" t="n"/>
      <c r="E11" s="55" t="n"/>
      <c r="F11" s="55" t="n"/>
      <c r="G11" s="55" t="n"/>
      <c r="H11" s="55" t="n"/>
      <c r="I11" s="55" t="n"/>
      <c r="J11" s="42" t="n"/>
      <c r="K11" s="51" t="n"/>
      <c r="L11" s="50">
        <f>K11-K8</f>
        <v/>
      </c>
      <c r="M11" s="52">
        <f>L11/K32</f>
        <v/>
      </c>
      <c r="O11" s="11" t="inlineStr">
        <is>
          <t>容量</t>
        </is>
      </c>
      <c r="P11" s="54" t="n"/>
      <c r="Q11" s="55" t="n"/>
      <c r="R11" s="55" t="n"/>
      <c r="S11" s="55" t="n"/>
      <c r="T11" s="55" t="n"/>
      <c r="U11" s="55" t="n"/>
      <c r="V11" s="55" t="n"/>
      <c r="W11" s="55" t="n"/>
      <c r="X11" s="42" t="n"/>
      <c r="Y11" s="51" t="n"/>
      <c r="Z11" s="50">
        <f>Y11-Y8</f>
        <v/>
      </c>
      <c r="AA11" s="52">
        <f>Z11/Y32</f>
        <v/>
      </c>
    </row>
    <row r="12">
      <c r="A12" s="3" t="n"/>
      <c r="B12" s="4" t="n">
        <v>0.6899999999999999</v>
      </c>
      <c r="C12" s="3" t="n">
        <v>0.68</v>
      </c>
      <c r="D12" s="3" t="n">
        <v>0.67</v>
      </c>
      <c r="E12" s="3" t="n">
        <v>0.66</v>
      </c>
      <c r="F12" s="3" t="n">
        <v>0.65</v>
      </c>
      <c r="G12" s="3" t="n">
        <v>0.64</v>
      </c>
      <c r="H12" s="3" t="n">
        <v>0.63</v>
      </c>
      <c r="I12" s="3" t="n">
        <v>0.62</v>
      </c>
      <c r="J12" s="3" t="n">
        <v>0.61</v>
      </c>
      <c r="K12" s="19" t="n">
        <v>0.6</v>
      </c>
      <c r="L12" s="3" t="n"/>
      <c r="M12" s="53" t="n"/>
      <c r="O12" s="3" t="n"/>
      <c r="P12" s="4" t="n">
        <v>0.6899999999999999</v>
      </c>
      <c r="Q12" s="3" t="n">
        <v>0.68</v>
      </c>
      <c r="R12" s="3" t="n">
        <v>0.67</v>
      </c>
      <c r="S12" s="3" t="n">
        <v>0.66</v>
      </c>
      <c r="T12" s="3" t="n">
        <v>0.65</v>
      </c>
      <c r="U12" s="3" t="n">
        <v>0.64</v>
      </c>
      <c r="V12" s="3" t="n">
        <v>0.63</v>
      </c>
      <c r="W12" s="3" t="n">
        <v>0.62</v>
      </c>
      <c r="X12" s="3" t="n">
        <v>0.61</v>
      </c>
      <c r="Y12" s="19" t="n">
        <v>0.6</v>
      </c>
      <c r="Z12" s="3" t="n"/>
      <c r="AA12" s="53" t="n"/>
    </row>
    <row r="13">
      <c r="A13" s="5" t="inlineStr">
        <is>
          <t>时间</t>
        </is>
      </c>
      <c r="B13" s="6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21" t="n"/>
      <c r="L13" s="5">
        <f>K13-K10</f>
        <v/>
      </c>
      <c r="M13" s="48">
        <f>L13/K31</f>
        <v/>
      </c>
      <c r="O13" s="5" t="inlineStr">
        <is>
          <t>时间</t>
        </is>
      </c>
      <c r="P13" s="6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21" t="n"/>
      <c r="Z13" s="5">
        <f>Y13-Y10</f>
        <v/>
      </c>
      <c r="AA13" s="48">
        <f>Z13/Y31</f>
        <v/>
      </c>
    </row>
    <row r="14">
      <c r="A14" s="11" t="inlineStr">
        <is>
          <t>容量</t>
        </is>
      </c>
      <c r="B14" s="54" t="n"/>
      <c r="C14" s="55" t="n"/>
      <c r="D14" s="55" t="n"/>
      <c r="E14" s="55" t="n"/>
      <c r="F14" s="55" t="n"/>
      <c r="G14" s="55" t="n"/>
      <c r="H14" s="55" t="n"/>
      <c r="I14" s="55" t="n"/>
      <c r="J14" s="42" t="n"/>
      <c r="K14" s="51" t="n"/>
      <c r="L14" s="50">
        <f>K14-K11</f>
        <v/>
      </c>
      <c r="M14" s="52">
        <f>L14/K32</f>
        <v/>
      </c>
      <c r="O14" s="11" t="inlineStr">
        <is>
          <t>容量</t>
        </is>
      </c>
      <c r="P14" s="54" t="n"/>
      <c r="Q14" s="55" t="n"/>
      <c r="R14" s="55" t="n"/>
      <c r="S14" s="55" t="n"/>
      <c r="T14" s="55" t="n"/>
      <c r="U14" s="55" t="n"/>
      <c r="V14" s="55" t="n"/>
      <c r="W14" s="55" t="n"/>
      <c r="X14" s="42" t="n"/>
      <c r="Y14" s="51" t="n"/>
      <c r="Z14" s="50">
        <f>Y14-Y11</f>
        <v/>
      </c>
      <c r="AA14" s="52">
        <f>Z14/Y32</f>
        <v/>
      </c>
    </row>
    <row r="15">
      <c r="A15" s="3" t="n"/>
      <c r="B15" s="4" t="n">
        <v>0.59</v>
      </c>
      <c r="C15" s="3" t="n">
        <v>0.58</v>
      </c>
      <c r="D15" s="3" t="n">
        <v>0.57</v>
      </c>
      <c r="E15" s="3" t="n">
        <v>0.5600000000000001</v>
      </c>
      <c r="F15" s="3" t="n">
        <v>0.55</v>
      </c>
      <c r="G15" s="3" t="n">
        <v>0.54</v>
      </c>
      <c r="H15" s="3" t="n">
        <v>0.53</v>
      </c>
      <c r="I15" s="3" t="n">
        <v>0.52</v>
      </c>
      <c r="J15" s="3" t="n">
        <v>0.51</v>
      </c>
      <c r="K15" s="19" t="n">
        <v>0.5</v>
      </c>
      <c r="L15" s="3" t="n"/>
      <c r="M15" s="53" t="n"/>
      <c r="O15" s="3" t="n"/>
      <c r="P15" s="4" t="n">
        <v>0.59</v>
      </c>
      <c r="Q15" s="3" t="n">
        <v>0.58</v>
      </c>
      <c r="R15" s="3" t="n">
        <v>0.57</v>
      </c>
      <c r="S15" s="3" t="n">
        <v>0.5600000000000001</v>
      </c>
      <c r="T15" s="3" t="n">
        <v>0.55</v>
      </c>
      <c r="U15" s="3" t="n">
        <v>0.54</v>
      </c>
      <c r="V15" s="3" t="n">
        <v>0.53</v>
      </c>
      <c r="W15" s="3" t="n">
        <v>0.52</v>
      </c>
      <c r="X15" s="3" t="n">
        <v>0.51</v>
      </c>
      <c r="Y15" s="19" t="n">
        <v>0.5</v>
      </c>
      <c r="Z15" s="3" t="n"/>
      <c r="AA15" s="53" t="n"/>
    </row>
    <row r="16">
      <c r="A16" s="5" t="inlineStr">
        <is>
          <t>时间</t>
        </is>
      </c>
      <c r="B16" s="6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21" t="n"/>
      <c r="L16" s="5">
        <f>K16-K13</f>
        <v/>
      </c>
      <c r="M16" s="48">
        <f>L16/K31</f>
        <v/>
      </c>
      <c r="O16" s="5" t="inlineStr">
        <is>
          <t>时间</t>
        </is>
      </c>
      <c r="P16" s="6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21" t="n"/>
      <c r="Z16" s="5">
        <f>Y16-Y13</f>
        <v/>
      </c>
      <c r="AA16" s="48">
        <f>Z16/Y31</f>
        <v/>
      </c>
    </row>
    <row r="17">
      <c r="A17" s="11" t="inlineStr">
        <is>
          <t>容量</t>
        </is>
      </c>
      <c r="B17" s="54" t="n"/>
      <c r="C17" s="55" t="n"/>
      <c r="D17" s="55" t="n"/>
      <c r="E17" s="55" t="n"/>
      <c r="F17" s="55" t="n"/>
      <c r="G17" s="55" t="n"/>
      <c r="H17" s="55" t="n"/>
      <c r="I17" s="55" t="n"/>
      <c r="J17" s="42" t="n"/>
      <c r="K17" s="51" t="n"/>
      <c r="L17" s="50">
        <f>K17-K14</f>
        <v/>
      </c>
      <c r="M17" s="52">
        <f>L17/K32</f>
        <v/>
      </c>
      <c r="O17" s="11" t="inlineStr">
        <is>
          <t>容量</t>
        </is>
      </c>
      <c r="P17" s="54" t="n"/>
      <c r="Q17" s="55" t="n"/>
      <c r="R17" s="55" t="n"/>
      <c r="S17" s="55" t="n"/>
      <c r="T17" s="55" t="n"/>
      <c r="U17" s="55" t="n"/>
      <c r="V17" s="55" t="n"/>
      <c r="W17" s="55" t="n"/>
      <c r="X17" s="42" t="n"/>
      <c r="Y17" s="51" t="n"/>
      <c r="Z17" s="50">
        <f>Y17-Y14</f>
        <v/>
      </c>
      <c r="AA17" s="52">
        <f>Z17/Y32</f>
        <v/>
      </c>
    </row>
    <row r="18">
      <c r="A18" s="3" t="n"/>
      <c r="B18" s="4" t="n">
        <v>0.49</v>
      </c>
      <c r="C18" s="3" t="n">
        <v>0.48</v>
      </c>
      <c r="D18" s="3" t="n">
        <v>0.47</v>
      </c>
      <c r="E18" s="3" t="n">
        <v>0.46</v>
      </c>
      <c r="F18" s="3" t="n">
        <v>0.45</v>
      </c>
      <c r="G18" s="3" t="n">
        <v>0.44</v>
      </c>
      <c r="H18" s="3" t="n">
        <v>0.43</v>
      </c>
      <c r="I18" s="3" t="n">
        <v>0.42</v>
      </c>
      <c r="J18" s="3" t="n">
        <v>0.41</v>
      </c>
      <c r="K18" s="19" t="n">
        <v>0.4</v>
      </c>
      <c r="L18" s="3" t="n"/>
      <c r="M18" s="53" t="n"/>
      <c r="O18" s="3" t="n"/>
      <c r="P18" s="4" t="n">
        <v>0.49</v>
      </c>
      <c r="Q18" s="3" t="n">
        <v>0.48</v>
      </c>
      <c r="R18" s="3" t="n">
        <v>0.47</v>
      </c>
      <c r="S18" s="3" t="n">
        <v>0.46</v>
      </c>
      <c r="T18" s="3" t="n">
        <v>0.45</v>
      </c>
      <c r="U18" s="3" t="n">
        <v>0.44</v>
      </c>
      <c r="V18" s="3" t="n">
        <v>0.43</v>
      </c>
      <c r="W18" s="3" t="n">
        <v>0.42</v>
      </c>
      <c r="X18" s="3" t="n">
        <v>0.41</v>
      </c>
      <c r="Y18" s="19" t="n">
        <v>0.4</v>
      </c>
      <c r="Z18" s="3" t="n"/>
      <c r="AA18" s="53" t="n"/>
    </row>
    <row r="19">
      <c r="A19" s="5" t="inlineStr">
        <is>
          <t>时间</t>
        </is>
      </c>
      <c r="B19" s="6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21" t="n"/>
      <c r="L19" s="5">
        <f>K19-K16</f>
        <v/>
      </c>
      <c r="M19" s="48">
        <f>L19/K31</f>
        <v/>
      </c>
      <c r="O19" s="5" t="inlineStr">
        <is>
          <t>时间</t>
        </is>
      </c>
      <c r="P19" s="6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21" t="n"/>
      <c r="Z19" s="5">
        <f>Y19-Y16</f>
        <v/>
      </c>
      <c r="AA19" s="48">
        <f>Z19/Y31</f>
        <v/>
      </c>
    </row>
    <row r="20">
      <c r="A20" s="11" t="inlineStr">
        <is>
          <t>容量</t>
        </is>
      </c>
      <c r="B20" s="54" t="n"/>
      <c r="C20" s="55" t="n"/>
      <c r="D20" s="55" t="n"/>
      <c r="E20" s="55" t="n"/>
      <c r="F20" s="55" t="n"/>
      <c r="G20" s="55" t="n"/>
      <c r="H20" s="55" t="n"/>
      <c r="I20" s="55" t="n"/>
      <c r="J20" s="42" t="n"/>
      <c r="K20" s="51" t="n"/>
      <c r="L20" s="50">
        <f>K20-K17</f>
        <v/>
      </c>
      <c r="M20" s="52">
        <f>L20/K32</f>
        <v/>
      </c>
      <c r="O20" s="11" t="inlineStr">
        <is>
          <t>容量</t>
        </is>
      </c>
      <c r="P20" s="54" t="n"/>
      <c r="Q20" s="55" t="n"/>
      <c r="R20" s="55" t="n"/>
      <c r="S20" s="55" t="n"/>
      <c r="T20" s="55" t="n"/>
      <c r="U20" s="55" t="n"/>
      <c r="V20" s="55" t="n"/>
      <c r="W20" s="55" t="n"/>
      <c r="X20" s="42" t="n"/>
      <c r="Y20" s="51" t="n"/>
      <c r="Z20" s="50">
        <f>Y20-Y17</f>
        <v/>
      </c>
      <c r="AA20" s="52">
        <f>Z20/Y32</f>
        <v/>
      </c>
    </row>
    <row r="21">
      <c r="A21" s="3" t="n"/>
      <c r="B21" s="4" t="n">
        <v>0.39</v>
      </c>
      <c r="C21" s="3" t="n">
        <v>0.38</v>
      </c>
      <c r="D21" s="14" t="n">
        <v>0.37</v>
      </c>
      <c r="E21" s="3" t="n">
        <v>0.36</v>
      </c>
      <c r="F21" s="3" t="n">
        <v>0.35</v>
      </c>
      <c r="G21" s="3" t="n">
        <v>0.34</v>
      </c>
      <c r="H21" s="3" t="n">
        <v>0.33</v>
      </c>
      <c r="I21" s="3" t="n">
        <v>0.32</v>
      </c>
      <c r="J21" s="3" t="n">
        <v>0.31</v>
      </c>
      <c r="K21" s="19" t="n">
        <v>0.3</v>
      </c>
      <c r="L21" s="3" t="n"/>
      <c r="M21" s="53" t="n"/>
      <c r="O21" s="3" t="n"/>
      <c r="P21" s="4" t="n">
        <v>0.39</v>
      </c>
      <c r="Q21" s="3" t="n">
        <v>0.38</v>
      </c>
      <c r="R21" s="14" t="n">
        <v>0.37</v>
      </c>
      <c r="S21" s="3" t="n">
        <v>0.36</v>
      </c>
      <c r="T21" s="3" t="n">
        <v>0.35</v>
      </c>
      <c r="U21" s="3" t="n">
        <v>0.34</v>
      </c>
      <c r="V21" s="3" t="n">
        <v>0.33</v>
      </c>
      <c r="W21" s="3" t="n">
        <v>0.32</v>
      </c>
      <c r="X21" s="3" t="n">
        <v>0.31</v>
      </c>
      <c r="Y21" s="19" t="n">
        <v>0.3</v>
      </c>
      <c r="Z21" s="3" t="n"/>
      <c r="AA21" s="53" t="n"/>
    </row>
    <row r="22">
      <c r="A22" s="5" t="inlineStr">
        <is>
          <t>时间</t>
        </is>
      </c>
      <c r="B22" s="6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21" t="n"/>
      <c r="L22" s="5">
        <f>K22-K19</f>
        <v/>
      </c>
      <c r="M22" s="48">
        <f>L22/K31</f>
        <v/>
      </c>
      <c r="O22" s="5" t="inlineStr">
        <is>
          <t>时间</t>
        </is>
      </c>
      <c r="P22" s="6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21" t="n"/>
      <c r="Z22" s="5">
        <f>Y22-Y19</f>
        <v/>
      </c>
      <c r="AA22" s="48">
        <f>Z22/Y31</f>
        <v/>
      </c>
    </row>
    <row r="23">
      <c r="A23" s="11" t="inlineStr">
        <is>
          <t>容量</t>
        </is>
      </c>
      <c r="B23" s="54" t="n"/>
      <c r="C23" s="55" t="n"/>
      <c r="D23" s="55" t="n"/>
      <c r="E23" s="55" t="n"/>
      <c r="F23" s="55" t="n"/>
      <c r="G23" s="55" t="n"/>
      <c r="H23" s="55" t="n"/>
      <c r="I23" s="55" t="n"/>
      <c r="J23" s="42" t="n"/>
      <c r="K23" s="51" t="n"/>
      <c r="L23" s="50">
        <f>K23-K20</f>
        <v/>
      </c>
      <c r="M23" s="52">
        <f>L23/K32</f>
        <v/>
      </c>
      <c r="O23" s="11" t="inlineStr">
        <is>
          <t>容量</t>
        </is>
      </c>
      <c r="P23" s="54" t="n"/>
      <c r="Q23" s="55" t="n"/>
      <c r="R23" s="55" t="n"/>
      <c r="S23" s="55" t="n"/>
      <c r="T23" s="55" t="n"/>
      <c r="U23" s="55" t="n"/>
      <c r="V23" s="55" t="n"/>
      <c r="W23" s="55" t="n"/>
      <c r="X23" s="42" t="n"/>
      <c r="Y23" s="51" t="n"/>
      <c r="Z23" s="50">
        <f>Y23-Y20</f>
        <v/>
      </c>
      <c r="AA23" s="52">
        <f>Z23/Y32</f>
        <v/>
      </c>
    </row>
    <row r="24">
      <c r="A24" s="3" t="n"/>
      <c r="B24" s="4" t="n">
        <v>0.29</v>
      </c>
      <c r="C24" s="3" t="n">
        <v>0.28</v>
      </c>
      <c r="D24" s="3" t="n">
        <v>0.27</v>
      </c>
      <c r="E24" s="3" t="n">
        <v>0.26</v>
      </c>
      <c r="F24" s="3" t="n">
        <v>0.25</v>
      </c>
      <c r="G24" s="3" t="n">
        <v>0.24</v>
      </c>
      <c r="H24" s="3" t="n">
        <v>0.23</v>
      </c>
      <c r="I24" s="3" t="n">
        <v>0.22</v>
      </c>
      <c r="J24" s="3" t="n">
        <v>0.21</v>
      </c>
      <c r="K24" s="19" t="n">
        <v>0.2</v>
      </c>
      <c r="L24" s="3" t="n"/>
      <c r="M24" s="53" t="n"/>
      <c r="O24" s="3" t="n"/>
      <c r="P24" s="4" t="n">
        <v>0.29</v>
      </c>
      <c r="Q24" s="3" t="n">
        <v>0.28</v>
      </c>
      <c r="R24" s="3" t="n">
        <v>0.27</v>
      </c>
      <c r="S24" s="3" t="n">
        <v>0.26</v>
      </c>
      <c r="T24" s="3" t="n">
        <v>0.25</v>
      </c>
      <c r="U24" s="3" t="n">
        <v>0.24</v>
      </c>
      <c r="V24" s="3" t="n">
        <v>0.23</v>
      </c>
      <c r="W24" s="3" t="n">
        <v>0.22</v>
      </c>
      <c r="X24" s="3" t="n">
        <v>0.21</v>
      </c>
      <c r="Y24" s="19" t="n">
        <v>0.2</v>
      </c>
      <c r="Z24" s="3" t="n"/>
      <c r="AA24" s="53" t="n"/>
    </row>
    <row r="25">
      <c r="A25" s="5" t="inlineStr">
        <is>
          <t>时间</t>
        </is>
      </c>
      <c r="B25" s="6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21" t="n"/>
      <c r="L25" s="5">
        <f>K25-K22</f>
        <v/>
      </c>
      <c r="M25" s="48">
        <f>L25/K31</f>
        <v/>
      </c>
      <c r="O25" s="5" t="inlineStr">
        <is>
          <t>时间</t>
        </is>
      </c>
      <c r="P25" s="6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21" t="n"/>
      <c r="Z25" s="5">
        <f>Y25-Y22</f>
        <v/>
      </c>
      <c r="AA25" s="48">
        <f>Z25/Y31</f>
        <v/>
      </c>
    </row>
    <row r="26">
      <c r="A26" s="11" t="inlineStr">
        <is>
          <t>容量</t>
        </is>
      </c>
      <c r="B26" s="54" t="n"/>
      <c r="C26" s="55" t="n"/>
      <c r="D26" s="55" t="n"/>
      <c r="E26" s="55" t="n"/>
      <c r="F26" s="55" t="n"/>
      <c r="G26" s="55" t="n"/>
      <c r="H26" s="55" t="n"/>
      <c r="I26" s="55" t="n"/>
      <c r="J26" s="42" t="n"/>
      <c r="K26" s="51" t="n"/>
      <c r="L26" s="50">
        <f>K26-K23</f>
        <v/>
      </c>
      <c r="M26" s="52">
        <f>L26/K32</f>
        <v/>
      </c>
      <c r="O26" s="11" t="inlineStr">
        <is>
          <t>容量</t>
        </is>
      </c>
      <c r="P26" s="54" t="n"/>
      <c r="Q26" s="55" t="n"/>
      <c r="R26" s="55" t="n"/>
      <c r="S26" s="55" t="n"/>
      <c r="T26" s="55" t="n"/>
      <c r="U26" s="55" t="n"/>
      <c r="V26" s="55" t="n"/>
      <c r="W26" s="55" t="n"/>
      <c r="X26" s="42" t="n"/>
      <c r="Y26" s="51" t="n"/>
      <c r="Z26" s="50">
        <f>Y26-Y23</f>
        <v/>
      </c>
      <c r="AA26" s="52">
        <f>Z26/Y32</f>
        <v/>
      </c>
    </row>
    <row r="27">
      <c r="A27" s="3" t="n"/>
      <c r="B27" s="4" t="n">
        <v>0.19</v>
      </c>
      <c r="C27" s="3" t="n">
        <v>0.18</v>
      </c>
      <c r="D27" s="3" t="n">
        <v>0.17</v>
      </c>
      <c r="E27" s="3" t="n">
        <v>0.16</v>
      </c>
      <c r="F27" s="3" t="n">
        <v>0.15</v>
      </c>
      <c r="G27" s="3" t="n">
        <v>0.14</v>
      </c>
      <c r="H27" s="3" t="n">
        <v>0.13</v>
      </c>
      <c r="I27" s="3" t="n">
        <v>0.12</v>
      </c>
      <c r="J27" s="3" t="n">
        <v>0.11</v>
      </c>
      <c r="K27" s="19" t="n">
        <v>0.1</v>
      </c>
      <c r="L27" s="3" t="n"/>
      <c r="M27" s="53" t="n"/>
      <c r="O27" s="3" t="n"/>
      <c r="P27" s="4" t="n">
        <v>0.19</v>
      </c>
      <c r="Q27" s="3" t="n">
        <v>0.18</v>
      </c>
      <c r="R27" s="3" t="n">
        <v>0.17</v>
      </c>
      <c r="S27" s="3" t="n">
        <v>0.16</v>
      </c>
      <c r="T27" s="3" t="n">
        <v>0.15</v>
      </c>
      <c r="U27" s="3" t="n">
        <v>0.14</v>
      </c>
      <c r="V27" s="3" t="n">
        <v>0.13</v>
      </c>
      <c r="W27" s="3" t="n">
        <v>0.12</v>
      </c>
      <c r="X27" s="3" t="n">
        <v>0.11</v>
      </c>
      <c r="Y27" s="19" t="n">
        <v>0.1</v>
      </c>
      <c r="Z27" s="3" t="n"/>
      <c r="AA27" s="53" t="n"/>
    </row>
    <row r="28">
      <c r="A28" s="5" t="inlineStr">
        <is>
          <t>时间</t>
        </is>
      </c>
      <c r="B28" s="6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21" t="n"/>
      <c r="L28" s="5">
        <f>K28-K25</f>
        <v/>
      </c>
      <c r="M28" s="48">
        <f>L28/K31</f>
        <v/>
      </c>
      <c r="O28" s="5" t="inlineStr">
        <is>
          <t>时间</t>
        </is>
      </c>
      <c r="P28" s="6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21" t="n"/>
      <c r="Z28" s="5">
        <f>Y28-Y25</f>
        <v/>
      </c>
      <c r="AA28" s="48">
        <f>Z28/Y31</f>
        <v/>
      </c>
    </row>
    <row r="29">
      <c r="A29" s="11" t="inlineStr">
        <is>
          <t>容量</t>
        </is>
      </c>
      <c r="B29" s="54" t="n"/>
      <c r="C29" s="55" t="n"/>
      <c r="D29" s="55" t="n"/>
      <c r="E29" s="55" t="n"/>
      <c r="F29" s="55" t="n"/>
      <c r="G29" s="55" t="n"/>
      <c r="H29" s="55" t="n"/>
      <c r="I29" s="55" t="n"/>
      <c r="J29" s="42" t="n"/>
      <c r="K29" s="51" t="n"/>
      <c r="L29" s="50">
        <f>K29-K26</f>
        <v/>
      </c>
      <c r="M29" s="52">
        <f>L29/K32</f>
        <v/>
      </c>
      <c r="O29" s="11" t="inlineStr">
        <is>
          <t>容量</t>
        </is>
      </c>
      <c r="P29" s="54" t="n"/>
      <c r="Q29" s="55" t="n"/>
      <c r="R29" s="55" t="n"/>
      <c r="S29" s="55" t="n"/>
      <c r="T29" s="55" t="n"/>
      <c r="U29" s="55" t="n"/>
      <c r="V29" s="55" t="n"/>
      <c r="W29" s="55" t="n"/>
      <c r="X29" s="42" t="n"/>
      <c r="Y29" s="51" t="n"/>
      <c r="Z29" s="50">
        <f>Y29-Y26</f>
        <v/>
      </c>
      <c r="AA29" s="52">
        <f>Z29/Y32</f>
        <v/>
      </c>
    </row>
    <row r="30">
      <c r="A30" s="3" t="n"/>
      <c r="B30" s="4" t="n">
        <v>0.09</v>
      </c>
      <c r="C30" s="3" t="n">
        <v>0.08</v>
      </c>
      <c r="D30" s="3" t="n">
        <v>0.07000000000000001</v>
      </c>
      <c r="E30" s="3" t="n">
        <v>0.06</v>
      </c>
      <c r="F30" s="3" t="n">
        <v>0.05</v>
      </c>
      <c r="G30" s="3" t="n">
        <v>0.04</v>
      </c>
      <c r="H30" s="3" t="n">
        <v>0.03</v>
      </c>
      <c r="I30" s="3" t="n">
        <v>0.02</v>
      </c>
      <c r="J30" s="3" t="n">
        <v>0.01</v>
      </c>
      <c r="K30" s="19" t="n">
        <v>0</v>
      </c>
      <c r="L30" s="3" t="n"/>
      <c r="M30" s="53" t="n"/>
      <c r="O30" s="3" t="n"/>
      <c r="P30" s="4" t="n">
        <v>0.09</v>
      </c>
      <c r="Q30" s="3" t="n">
        <v>0.08</v>
      </c>
      <c r="R30" s="3" t="n">
        <v>0.07000000000000001</v>
      </c>
      <c r="S30" s="3" t="n">
        <v>0.06</v>
      </c>
      <c r="T30" s="3" t="n">
        <v>0.05</v>
      </c>
      <c r="U30" s="3" t="n">
        <v>0.04</v>
      </c>
      <c r="V30" s="3" t="n">
        <v>0.03</v>
      </c>
      <c r="W30" s="3" t="n">
        <v>0.02</v>
      </c>
      <c r="X30" s="3" t="n">
        <v>0.01</v>
      </c>
      <c r="Y30" s="19" t="n">
        <v>0</v>
      </c>
      <c r="Z30" s="3" t="n"/>
      <c r="AA30" s="53" t="n"/>
    </row>
    <row r="31">
      <c r="A31" s="5" t="inlineStr">
        <is>
          <t>时间</t>
        </is>
      </c>
      <c r="B31" s="6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5">
        <f>K31-K28</f>
        <v/>
      </c>
      <c r="M31" s="48">
        <f>L31/K31</f>
        <v/>
      </c>
      <c r="O31" s="5" t="inlineStr">
        <is>
          <t>时间</t>
        </is>
      </c>
      <c r="P31" s="6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5">
        <f>Y31-Y28</f>
        <v/>
      </c>
      <c r="AA31" s="48">
        <f>Z31/Y31</f>
        <v/>
      </c>
    </row>
    <row r="32">
      <c r="A32" s="11" t="inlineStr">
        <is>
          <t>容量</t>
        </is>
      </c>
      <c r="B32" s="49" t="n"/>
      <c r="C32" s="50" t="n"/>
      <c r="D32" s="50" t="n"/>
      <c r="E32" s="50" t="n"/>
      <c r="F32" s="50" t="n"/>
      <c r="G32" s="50" t="n"/>
      <c r="H32" s="50" t="n"/>
      <c r="I32" s="50" t="n"/>
      <c r="J32" s="46" t="n"/>
      <c r="K32" s="51" t="n"/>
      <c r="L32" s="46">
        <f>K32-K29</f>
        <v/>
      </c>
      <c r="M32" s="52">
        <f>L32/K32</f>
        <v/>
      </c>
      <c r="O32" s="11" t="inlineStr">
        <is>
          <t>容量</t>
        </is>
      </c>
      <c r="P32" s="49" t="n"/>
      <c r="Q32" s="50" t="n"/>
      <c r="R32" s="50" t="n"/>
      <c r="S32" s="50" t="n"/>
      <c r="T32" s="50" t="n"/>
      <c r="U32" s="50" t="n"/>
      <c r="V32" s="50" t="n"/>
      <c r="W32" s="50" t="n"/>
      <c r="X32" s="46" t="n"/>
      <c r="Y32" s="51" t="n"/>
      <c r="Z32" s="50">
        <f>Y32-Y29</f>
        <v/>
      </c>
      <c r="AA32" s="52">
        <f>Z32/Y32</f>
        <v/>
      </c>
    </row>
    <row r="33" ht="14.25" customHeight="1" s="35">
      <c r="A33" s="15" t="inlineStr">
        <is>
          <t>容量</t>
        </is>
      </c>
      <c r="B33" s="16" t="n"/>
      <c r="C33" s="43" t="n"/>
      <c r="D33" s="43" t="n"/>
      <c r="E33" s="44" t="n"/>
      <c r="F33" s="15" t="inlineStr">
        <is>
          <t>能量</t>
        </is>
      </c>
      <c r="G33" s="45" t="n"/>
      <c r="H33" s="43" t="n"/>
      <c r="I33" s="43" t="n"/>
      <c r="J33" s="44" t="n"/>
      <c r="K33" s="15" t="n"/>
      <c r="L33" s="18" t="n"/>
      <c r="M33" s="44" t="n"/>
      <c r="O33" s="15" t="inlineStr">
        <is>
          <t>容量</t>
        </is>
      </c>
      <c r="P33" s="16" t="n"/>
      <c r="Q33" s="43" t="n"/>
      <c r="R33" s="43" t="n"/>
      <c r="S33" s="44" t="n"/>
      <c r="T33" s="15" t="inlineStr">
        <is>
          <t>能量</t>
        </is>
      </c>
      <c r="U33" s="45" t="n"/>
      <c r="V33" s="43" t="n"/>
      <c r="W33" s="43" t="n"/>
      <c r="X33" s="44" t="n"/>
      <c r="Y33" s="15" t="n"/>
      <c r="Z33" s="18" t="n"/>
      <c r="AA33" s="44" t="n"/>
    </row>
    <row r="34" ht="219" customHeight="1" s="35">
      <c r="A34" s="18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4" t="n"/>
      <c r="O34" s="18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  <c r="AA34" s="44" t="n"/>
    </row>
    <row r="35"/>
    <row r="36" ht="25.5" customHeight="1" s="35">
      <c r="A36" s="1" t="inlineStr">
        <is>
          <t>数显测试</t>
        </is>
      </c>
      <c r="O36" s="1" t="inlineStr">
        <is>
          <t>数显测试</t>
        </is>
      </c>
    </row>
    <row r="37" ht="25.5" customHeight="1" s="35">
      <c r="A37" s="2" t="inlineStr">
        <is>
          <t xml:space="preserve">PB519  C口  9V放电  1# </t>
        </is>
      </c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1" t="n"/>
      <c r="O37" s="2" t="inlineStr">
        <is>
          <t xml:space="preserve">PB519  C线  9V放电  2# </t>
        </is>
      </c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1" t="n"/>
    </row>
    <row r="38" ht="14" customHeight="1" s="35">
      <c r="A38" s="3" t="n"/>
      <c r="B38" s="4" t="n"/>
      <c r="C38" s="3" t="n"/>
      <c r="D38" s="3" t="n"/>
      <c r="E38" s="3" t="n"/>
      <c r="F38" s="3" t="n"/>
      <c r="G38" s="3" t="n"/>
      <c r="H38" s="3" t="n"/>
      <c r="I38" s="3" t="n"/>
      <c r="J38" s="3" t="n"/>
      <c r="K38" s="19" t="n"/>
      <c r="L38" s="3" t="inlineStr">
        <is>
          <t>每10%</t>
        </is>
      </c>
      <c r="M38" s="20" t="inlineStr">
        <is>
          <t>占总时长比
占总容量比</t>
        </is>
      </c>
      <c r="O38" s="3" t="n"/>
      <c r="P38" s="4" t="n"/>
      <c r="Q38" s="3" t="n"/>
      <c r="R38" s="3" t="n"/>
      <c r="S38" s="3" t="n"/>
      <c r="T38" s="3" t="n"/>
      <c r="U38" s="3" t="n"/>
      <c r="V38" s="3" t="n"/>
      <c r="W38" s="3" t="n"/>
      <c r="X38" s="3" t="n"/>
      <c r="Y38" s="19" t="n"/>
      <c r="Z38" s="3" t="inlineStr">
        <is>
          <t>每10%</t>
        </is>
      </c>
      <c r="AA38" s="20" t="inlineStr">
        <is>
          <t>占总时长比
占总容量比</t>
        </is>
      </c>
    </row>
    <row r="39">
      <c r="A39" s="5" t="inlineStr">
        <is>
          <t>时间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10" t="n"/>
      <c r="K39" s="21" t="n"/>
      <c r="L39" s="5">
        <f>K39-B39</f>
        <v/>
      </c>
      <c r="M39" s="48">
        <f>L39/K66</f>
        <v/>
      </c>
      <c r="O39" s="5" t="inlineStr">
        <is>
          <t>时间</t>
        </is>
      </c>
      <c r="P39" s="6" t="n"/>
      <c r="Q39" s="6" t="n"/>
      <c r="R39" s="6" t="n"/>
      <c r="S39" s="6" t="n"/>
      <c r="T39" s="6" t="n"/>
      <c r="U39" s="6" t="n"/>
      <c r="V39" s="6" t="n"/>
      <c r="W39" s="6" t="n"/>
      <c r="X39" s="10" t="n"/>
      <c r="Y39" s="21" t="n"/>
      <c r="Z39" s="5">
        <f>Y39-P39</f>
        <v/>
      </c>
      <c r="AA39" s="48">
        <f>Z39/Y66</f>
        <v/>
      </c>
    </row>
    <row r="40">
      <c r="A40" s="11" t="inlineStr">
        <is>
          <t>容量</t>
        </is>
      </c>
      <c r="B40" s="49" t="n"/>
      <c r="C40" s="50" t="n"/>
      <c r="D40" s="50" t="n"/>
      <c r="E40" s="50" t="n"/>
      <c r="F40" s="50" t="n"/>
      <c r="G40" s="50" t="n"/>
      <c r="H40" s="50" t="n"/>
      <c r="I40" s="50" t="n"/>
      <c r="J40" s="46" t="n"/>
      <c r="K40" s="51" t="n"/>
      <c r="L40" s="46">
        <f>K40-B40</f>
        <v/>
      </c>
      <c r="M40" s="52">
        <f>L40/K67</f>
        <v/>
      </c>
      <c r="O40" s="11" t="inlineStr">
        <is>
          <t>容量</t>
        </is>
      </c>
      <c r="P40" s="49" t="n"/>
      <c r="Q40" s="50" t="n"/>
      <c r="R40" s="50" t="n"/>
      <c r="S40" s="50" t="n"/>
      <c r="T40" s="50" t="n"/>
      <c r="U40" s="50" t="n"/>
      <c r="V40" s="50" t="n"/>
      <c r="W40" s="50" t="n"/>
      <c r="X40" s="46" t="n"/>
      <c r="Y40" s="51" t="n"/>
      <c r="Z40" s="46">
        <f>Y40-P40</f>
        <v/>
      </c>
      <c r="AA40" s="52">
        <f>Z40/Y67</f>
        <v/>
      </c>
    </row>
    <row r="41">
      <c r="A41" s="3" t="n"/>
      <c r="B41" s="4" t="n">
        <v>0.89</v>
      </c>
      <c r="C41" s="3" t="n">
        <v>0.88</v>
      </c>
      <c r="D41" s="3" t="n">
        <v>0.87</v>
      </c>
      <c r="E41" s="3" t="n">
        <v>0.86</v>
      </c>
      <c r="F41" s="3" t="n">
        <v>0.85</v>
      </c>
      <c r="G41" s="3" t="n">
        <v>0.84</v>
      </c>
      <c r="H41" s="3" t="n">
        <v>0.83</v>
      </c>
      <c r="I41" s="3" t="n">
        <v>0.82</v>
      </c>
      <c r="J41" s="3" t="n">
        <v>0.8100000000000001</v>
      </c>
      <c r="K41" s="19" t="n"/>
      <c r="L41" s="3" t="n"/>
      <c r="M41" s="53" t="n"/>
      <c r="O41" s="3" t="n"/>
      <c r="P41" s="4" t="n">
        <v>0.89</v>
      </c>
      <c r="Q41" s="3" t="n">
        <v>0.88</v>
      </c>
      <c r="R41" s="3" t="n">
        <v>0.87</v>
      </c>
      <c r="S41" s="3" t="n">
        <v>0.86</v>
      </c>
      <c r="T41" s="3" t="n">
        <v>0.85</v>
      </c>
      <c r="U41" s="3" t="n">
        <v>0.84</v>
      </c>
      <c r="V41" s="3" t="n">
        <v>0.83</v>
      </c>
      <c r="W41" s="3" t="n">
        <v>0.82</v>
      </c>
      <c r="X41" s="3" t="n">
        <v>0.8100000000000001</v>
      </c>
      <c r="Y41" s="19" t="n"/>
      <c r="Z41" s="3" t="n"/>
      <c r="AA41" s="53" t="n"/>
    </row>
    <row r="42">
      <c r="A42" s="5" t="inlineStr">
        <is>
          <t>时间</t>
        </is>
      </c>
      <c r="B42" s="6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21" t="n"/>
      <c r="L42" s="5">
        <f>K42-K39</f>
        <v/>
      </c>
      <c r="M42" s="48">
        <f>L42/K66</f>
        <v/>
      </c>
      <c r="O42" s="5" t="inlineStr">
        <is>
          <t>时间</t>
        </is>
      </c>
      <c r="P42" s="6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21" t="n"/>
      <c r="Z42" s="5">
        <f>Y42-Y39</f>
        <v/>
      </c>
      <c r="AA42" s="48">
        <f>Z42/Y66</f>
        <v/>
      </c>
    </row>
    <row r="43">
      <c r="A43" s="11" t="inlineStr">
        <is>
          <t>容量</t>
        </is>
      </c>
      <c r="B43" s="54" t="n"/>
      <c r="C43" s="55" t="n"/>
      <c r="D43" s="55" t="n"/>
      <c r="E43" s="55" t="n"/>
      <c r="F43" s="55" t="n"/>
      <c r="G43" s="55" t="n"/>
      <c r="H43" s="55" t="n"/>
      <c r="I43" s="55" t="n"/>
      <c r="J43" s="42" t="n"/>
      <c r="K43" s="51" t="n"/>
      <c r="L43" s="51">
        <f>K43-K40</f>
        <v/>
      </c>
      <c r="M43" s="52">
        <f>L43/K67</f>
        <v/>
      </c>
      <c r="O43" s="11" t="inlineStr">
        <is>
          <t>容量</t>
        </is>
      </c>
      <c r="P43" s="54" t="n"/>
      <c r="Q43" s="55" t="n"/>
      <c r="R43" s="55" t="n"/>
      <c r="S43" s="55" t="n"/>
      <c r="T43" s="55" t="n"/>
      <c r="U43" s="55" t="n"/>
      <c r="V43" s="55" t="n"/>
      <c r="W43" s="55" t="n"/>
      <c r="X43" s="42" t="n"/>
      <c r="Y43" s="51" t="n"/>
      <c r="Z43" s="46">
        <f>Y43-Y40</f>
        <v/>
      </c>
      <c r="AA43" s="52">
        <f>Z43/Y67</f>
        <v/>
      </c>
    </row>
    <row r="44">
      <c r="A44" s="3" t="n"/>
      <c r="B44" s="4" t="n">
        <v>0.79</v>
      </c>
      <c r="C44" s="3" t="n">
        <v>0.78</v>
      </c>
      <c r="D44" s="3" t="n">
        <v>0.77</v>
      </c>
      <c r="E44" s="3" t="n">
        <v>0.76</v>
      </c>
      <c r="F44" s="3" t="n">
        <v>0.75</v>
      </c>
      <c r="G44" s="3" t="n">
        <v>0.74</v>
      </c>
      <c r="H44" s="3" t="n">
        <v>0.73</v>
      </c>
      <c r="I44" s="3" t="n">
        <v>0.72</v>
      </c>
      <c r="J44" s="3" t="n">
        <v>0.71</v>
      </c>
      <c r="K44" s="19" t="n"/>
      <c r="L44" s="3" t="n"/>
      <c r="M44" s="53" t="n"/>
      <c r="O44" s="3" t="n"/>
      <c r="P44" s="4" t="n">
        <v>0.79</v>
      </c>
      <c r="Q44" s="3" t="n">
        <v>0.78</v>
      </c>
      <c r="R44" s="3" t="n">
        <v>0.77</v>
      </c>
      <c r="S44" s="3" t="n">
        <v>0.76</v>
      </c>
      <c r="T44" s="3" t="n">
        <v>0.75</v>
      </c>
      <c r="U44" s="3" t="n">
        <v>0.74</v>
      </c>
      <c r="V44" s="3" t="n">
        <v>0.73</v>
      </c>
      <c r="W44" s="3" t="n">
        <v>0.72</v>
      </c>
      <c r="X44" s="3" t="n">
        <v>0.71</v>
      </c>
      <c r="Y44" s="19" t="n"/>
      <c r="Z44" s="3" t="n"/>
      <c r="AA44" s="53" t="n"/>
    </row>
    <row r="45">
      <c r="A45" s="5" t="inlineStr">
        <is>
          <t>时间</t>
        </is>
      </c>
      <c r="B45" s="6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21" t="n"/>
      <c r="L45" s="5">
        <f>K45-K42</f>
        <v/>
      </c>
      <c r="M45" s="48">
        <f>L45/K66</f>
        <v/>
      </c>
      <c r="O45" s="5" t="inlineStr">
        <is>
          <t>时间</t>
        </is>
      </c>
      <c r="P45" s="6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21" t="n"/>
      <c r="Z45" s="5">
        <f>Y45-Y42</f>
        <v/>
      </c>
      <c r="AA45" s="48">
        <f>Z45/Y66</f>
        <v/>
      </c>
    </row>
    <row r="46">
      <c r="A46" s="11" t="inlineStr">
        <is>
          <t>容量</t>
        </is>
      </c>
      <c r="B46" s="54" t="n"/>
      <c r="C46" s="55" t="n"/>
      <c r="D46" s="55" t="n"/>
      <c r="E46" s="55" t="n"/>
      <c r="F46" s="55" t="n"/>
      <c r="G46" s="55" t="n"/>
      <c r="H46" s="55" t="n"/>
      <c r="I46" s="55" t="n"/>
      <c r="J46" s="42" t="n"/>
      <c r="K46" s="51" t="n"/>
      <c r="L46" s="51">
        <f>K46-K43</f>
        <v/>
      </c>
      <c r="M46" s="52">
        <f>L46/K67</f>
        <v/>
      </c>
      <c r="O46" s="11" t="inlineStr">
        <is>
          <t>容量</t>
        </is>
      </c>
      <c r="P46" s="54" t="n"/>
      <c r="Q46" s="55" t="n"/>
      <c r="R46" s="55" t="n"/>
      <c r="S46" s="55" t="n"/>
      <c r="T46" s="55" t="n"/>
      <c r="U46" s="55" t="n"/>
      <c r="V46" s="55" t="n"/>
      <c r="W46" s="55" t="n"/>
      <c r="X46" s="42" t="n"/>
      <c r="Y46" s="51" t="n"/>
      <c r="Z46" s="46">
        <f>Y46-Y43</f>
        <v/>
      </c>
      <c r="AA46" s="52">
        <f>Z46/Y67</f>
        <v/>
      </c>
    </row>
    <row r="47">
      <c r="A47" s="3" t="n"/>
      <c r="B47" s="4" t="n">
        <v>0.6899999999999999</v>
      </c>
      <c r="C47" s="3" t="n">
        <v>0.68</v>
      </c>
      <c r="D47" s="3" t="n">
        <v>0.67</v>
      </c>
      <c r="E47" s="3" t="n">
        <v>0.66</v>
      </c>
      <c r="F47" s="3" t="n">
        <v>0.65</v>
      </c>
      <c r="G47" s="3" t="n">
        <v>0.64</v>
      </c>
      <c r="H47" s="3" t="n">
        <v>0.63</v>
      </c>
      <c r="I47" s="3" t="n">
        <v>0.62</v>
      </c>
      <c r="J47" s="3" t="n">
        <v>0.61</v>
      </c>
      <c r="K47" s="19" t="n"/>
      <c r="L47" s="3" t="n"/>
      <c r="M47" s="53" t="n"/>
      <c r="O47" s="3" t="n"/>
      <c r="P47" s="4" t="n">
        <v>0.6899999999999999</v>
      </c>
      <c r="Q47" s="3" t="n">
        <v>0.68</v>
      </c>
      <c r="R47" s="3" t="n">
        <v>0.67</v>
      </c>
      <c r="S47" s="3" t="n">
        <v>0.66</v>
      </c>
      <c r="T47" s="3" t="n">
        <v>0.65</v>
      </c>
      <c r="U47" s="3" t="n">
        <v>0.64</v>
      </c>
      <c r="V47" s="3" t="n">
        <v>0.63</v>
      </c>
      <c r="W47" s="3" t="n">
        <v>0.62</v>
      </c>
      <c r="X47" s="3" t="n">
        <v>0.61</v>
      </c>
      <c r="Y47" s="19" t="n"/>
      <c r="Z47" s="3" t="n"/>
      <c r="AA47" s="53" t="n"/>
    </row>
    <row r="48">
      <c r="A48" s="5" t="inlineStr">
        <is>
          <t>时间</t>
        </is>
      </c>
      <c r="B48" s="6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21" t="n"/>
      <c r="L48" s="5">
        <f>K48-K45</f>
        <v/>
      </c>
      <c r="M48" s="48">
        <f>L48/K66</f>
        <v/>
      </c>
      <c r="O48" s="5" t="inlineStr">
        <is>
          <t>时间</t>
        </is>
      </c>
      <c r="P48" s="6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21" t="n"/>
      <c r="Z48" s="5">
        <f>Y48-Y45</f>
        <v/>
      </c>
      <c r="AA48" s="48">
        <f>Z48/Y66</f>
        <v/>
      </c>
    </row>
    <row r="49">
      <c r="A49" s="11" t="inlineStr">
        <is>
          <t>容量</t>
        </is>
      </c>
      <c r="B49" s="54" t="n"/>
      <c r="C49" s="55" t="n"/>
      <c r="D49" s="55" t="n"/>
      <c r="E49" s="55" t="n"/>
      <c r="F49" s="55" t="n"/>
      <c r="G49" s="55" t="n"/>
      <c r="H49" s="55" t="n"/>
      <c r="I49" s="55" t="n"/>
      <c r="J49" s="42" t="n"/>
      <c r="K49" s="51" t="n"/>
      <c r="L49" s="51">
        <f>K49-K46</f>
        <v/>
      </c>
      <c r="M49" s="52">
        <f>L49/K67</f>
        <v/>
      </c>
      <c r="O49" s="11" t="inlineStr">
        <is>
          <t>容量</t>
        </is>
      </c>
      <c r="P49" s="54" t="n"/>
      <c r="Q49" s="55" t="n"/>
      <c r="R49" s="55" t="n"/>
      <c r="S49" s="55" t="n"/>
      <c r="T49" s="55" t="n"/>
      <c r="U49" s="55" t="n"/>
      <c r="V49" s="55" t="n"/>
      <c r="W49" s="55" t="n"/>
      <c r="X49" s="42" t="n"/>
      <c r="Y49" s="51" t="n"/>
      <c r="Z49" s="46">
        <f>Y49-Y46</f>
        <v/>
      </c>
      <c r="AA49" s="52">
        <f>Z49/Y67</f>
        <v/>
      </c>
    </row>
    <row r="50">
      <c r="A50" s="3" t="n"/>
      <c r="B50" s="4" t="n">
        <v>0.59</v>
      </c>
      <c r="C50" s="3" t="n">
        <v>0.58</v>
      </c>
      <c r="D50" s="3" t="n">
        <v>0.57</v>
      </c>
      <c r="E50" s="3" t="n">
        <v>0.5600000000000001</v>
      </c>
      <c r="F50" s="3" t="n">
        <v>0.55</v>
      </c>
      <c r="G50" s="3" t="n">
        <v>0.54</v>
      </c>
      <c r="H50" s="3" t="n">
        <v>0.53</v>
      </c>
      <c r="I50" s="3" t="n">
        <v>0.52</v>
      </c>
      <c r="J50" s="3" t="n">
        <v>0.51</v>
      </c>
      <c r="K50" s="19" t="n"/>
      <c r="L50" s="3" t="n"/>
      <c r="M50" s="53" t="n"/>
      <c r="O50" s="3" t="n"/>
      <c r="P50" s="4" t="n">
        <v>0.59</v>
      </c>
      <c r="Q50" s="3" t="n">
        <v>0.58</v>
      </c>
      <c r="R50" s="3" t="n">
        <v>0.57</v>
      </c>
      <c r="S50" s="3" t="n">
        <v>0.5600000000000001</v>
      </c>
      <c r="T50" s="3" t="n">
        <v>0.55</v>
      </c>
      <c r="U50" s="3" t="n">
        <v>0.54</v>
      </c>
      <c r="V50" s="3" t="n">
        <v>0.53</v>
      </c>
      <c r="W50" s="3" t="n">
        <v>0.52</v>
      </c>
      <c r="X50" s="3" t="n">
        <v>0.51</v>
      </c>
      <c r="Y50" s="19" t="n"/>
      <c r="Z50" s="3" t="n"/>
      <c r="AA50" s="53" t="n"/>
    </row>
    <row r="51">
      <c r="A51" s="5" t="inlineStr">
        <is>
          <t>时间</t>
        </is>
      </c>
      <c r="B51" s="6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21" t="n"/>
      <c r="L51" s="5">
        <f>K51-K48</f>
        <v/>
      </c>
      <c r="M51" s="48">
        <f>L51/K66</f>
        <v/>
      </c>
      <c r="O51" s="5" t="inlineStr">
        <is>
          <t>时间</t>
        </is>
      </c>
      <c r="P51" s="6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21" t="n"/>
      <c r="Z51" s="5">
        <f>Y51-Y48</f>
        <v/>
      </c>
      <c r="AA51" s="48">
        <f>Z51/Y66</f>
        <v/>
      </c>
    </row>
    <row r="52">
      <c r="A52" s="11" t="inlineStr">
        <is>
          <t>容量</t>
        </is>
      </c>
      <c r="B52" s="54" t="n"/>
      <c r="C52" s="55" t="n"/>
      <c r="D52" s="55" t="n"/>
      <c r="E52" s="55" t="n"/>
      <c r="F52" s="55" t="n"/>
      <c r="G52" s="55" t="n"/>
      <c r="H52" s="55" t="n"/>
      <c r="I52" s="55" t="n"/>
      <c r="J52" s="42" t="n"/>
      <c r="K52" s="51" t="n"/>
      <c r="L52" s="51">
        <f>K52-K49</f>
        <v/>
      </c>
      <c r="M52" s="52">
        <f>L52/K67</f>
        <v/>
      </c>
      <c r="O52" s="11" t="inlineStr">
        <is>
          <t>容量</t>
        </is>
      </c>
      <c r="P52" s="54" t="n"/>
      <c r="Q52" s="55" t="n"/>
      <c r="R52" s="55" t="n"/>
      <c r="S52" s="55" t="n"/>
      <c r="T52" s="55" t="n"/>
      <c r="U52" s="55" t="n"/>
      <c r="V52" s="55" t="n"/>
      <c r="W52" s="55" t="n"/>
      <c r="X52" s="42" t="n"/>
      <c r="Y52" s="51" t="n"/>
      <c r="Z52" s="46">
        <f>Y52-Y49</f>
        <v/>
      </c>
      <c r="AA52" s="52">
        <f>Z52/Y67</f>
        <v/>
      </c>
    </row>
    <row r="53">
      <c r="A53" s="3" t="n"/>
      <c r="B53" s="4" t="n">
        <v>0.49</v>
      </c>
      <c r="C53" s="3" t="n">
        <v>0.48</v>
      </c>
      <c r="D53" s="3" t="n">
        <v>0.47</v>
      </c>
      <c r="E53" s="3" t="n">
        <v>0.46</v>
      </c>
      <c r="F53" s="3" t="n">
        <v>0.45</v>
      </c>
      <c r="G53" s="3" t="n">
        <v>0.44</v>
      </c>
      <c r="H53" s="3" t="n">
        <v>0.43</v>
      </c>
      <c r="I53" s="3" t="n">
        <v>0.42</v>
      </c>
      <c r="J53" s="3" t="n">
        <v>0.41</v>
      </c>
      <c r="K53" s="19" t="n"/>
      <c r="L53" s="3" t="n"/>
      <c r="M53" s="53" t="n"/>
      <c r="O53" s="3" t="n"/>
      <c r="P53" s="4" t="n">
        <v>0.49</v>
      </c>
      <c r="Q53" s="3" t="n">
        <v>0.48</v>
      </c>
      <c r="R53" s="3" t="n">
        <v>0.47</v>
      </c>
      <c r="S53" s="3" t="n">
        <v>0.46</v>
      </c>
      <c r="T53" s="3" t="n">
        <v>0.45</v>
      </c>
      <c r="U53" s="3" t="n">
        <v>0.44</v>
      </c>
      <c r="V53" s="3" t="n">
        <v>0.43</v>
      </c>
      <c r="W53" s="3" t="n">
        <v>0.42</v>
      </c>
      <c r="X53" s="3" t="n">
        <v>0.41</v>
      </c>
      <c r="Y53" s="19" t="n"/>
      <c r="Z53" s="3" t="n"/>
      <c r="AA53" s="53" t="n"/>
    </row>
    <row r="54">
      <c r="A54" s="5" t="inlineStr">
        <is>
          <t>时间</t>
        </is>
      </c>
      <c r="B54" s="6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21" t="n"/>
      <c r="L54" s="5">
        <f>K54-K51</f>
        <v/>
      </c>
      <c r="M54" s="48">
        <f>L54/K66</f>
        <v/>
      </c>
      <c r="O54" s="5" t="inlineStr">
        <is>
          <t>时间</t>
        </is>
      </c>
      <c r="P54" s="6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21" t="n"/>
      <c r="Z54" s="5">
        <f>Y54-Y51</f>
        <v/>
      </c>
      <c r="AA54" s="48">
        <f>Z54/Y66</f>
        <v/>
      </c>
    </row>
    <row r="55">
      <c r="A55" s="11" t="inlineStr">
        <is>
          <t>容量</t>
        </is>
      </c>
      <c r="B55" s="54" t="n"/>
      <c r="C55" s="55" t="n"/>
      <c r="D55" s="55" t="n"/>
      <c r="E55" s="55" t="n"/>
      <c r="F55" s="55" t="n"/>
      <c r="G55" s="55" t="n"/>
      <c r="H55" s="55" t="n"/>
      <c r="I55" s="55" t="n"/>
      <c r="J55" s="42" t="n"/>
      <c r="K55" s="51" t="n"/>
      <c r="L55" s="51">
        <f>K55-K52</f>
        <v/>
      </c>
      <c r="M55" s="52">
        <f>L55/K67</f>
        <v/>
      </c>
      <c r="O55" s="11" t="inlineStr">
        <is>
          <t>容量</t>
        </is>
      </c>
      <c r="P55" s="54" t="n"/>
      <c r="Q55" s="55" t="n"/>
      <c r="R55" s="55" t="n"/>
      <c r="S55" s="55" t="n"/>
      <c r="T55" s="55" t="n"/>
      <c r="U55" s="55" t="n"/>
      <c r="V55" s="55" t="n"/>
      <c r="W55" s="55" t="n"/>
      <c r="X55" s="42" t="n"/>
      <c r="Y55" s="51" t="n"/>
      <c r="Z55" s="46">
        <f>Y55-Y52</f>
        <v/>
      </c>
      <c r="AA55" s="52">
        <f>Z55/Y67</f>
        <v/>
      </c>
    </row>
    <row r="56">
      <c r="A56" s="3" t="n"/>
      <c r="B56" s="4" t="n">
        <v>0.39</v>
      </c>
      <c r="C56" s="3" t="n">
        <v>0.38</v>
      </c>
      <c r="D56" s="14" t="n">
        <v>0.37</v>
      </c>
      <c r="E56" s="3" t="n">
        <v>0.36</v>
      </c>
      <c r="F56" s="3" t="n">
        <v>0.35</v>
      </c>
      <c r="G56" s="3" t="n">
        <v>0.34</v>
      </c>
      <c r="H56" s="3" t="n">
        <v>0.33</v>
      </c>
      <c r="I56" s="3" t="n">
        <v>0.32</v>
      </c>
      <c r="J56" s="3" t="n">
        <v>0.31</v>
      </c>
      <c r="K56" s="19" t="n"/>
      <c r="L56" s="3" t="n"/>
      <c r="M56" s="53" t="n"/>
      <c r="O56" s="3" t="n"/>
      <c r="P56" s="4" t="n">
        <v>0.39</v>
      </c>
      <c r="Q56" s="3" t="n">
        <v>0.38</v>
      </c>
      <c r="R56" s="14" t="n">
        <v>0.37</v>
      </c>
      <c r="S56" s="3" t="n">
        <v>0.36</v>
      </c>
      <c r="T56" s="3" t="n">
        <v>0.35</v>
      </c>
      <c r="U56" s="3" t="n">
        <v>0.34</v>
      </c>
      <c r="V56" s="3" t="n">
        <v>0.33</v>
      </c>
      <c r="W56" s="3" t="n">
        <v>0.32</v>
      </c>
      <c r="X56" s="3" t="n">
        <v>0.31</v>
      </c>
      <c r="Y56" s="19" t="n"/>
      <c r="Z56" s="3" t="n"/>
      <c r="AA56" s="53" t="n"/>
    </row>
    <row r="57">
      <c r="A57" s="5" t="inlineStr">
        <is>
          <t>时间</t>
        </is>
      </c>
      <c r="B57" s="6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21" t="n"/>
      <c r="L57" s="5">
        <f>K57-K54</f>
        <v/>
      </c>
      <c r="M57" s="48">
        <f>L57/K66</f>
        <v/>
      </c>
      <c r="O57" s="5" t="inlineStr">
        <is>
          <t>时间</t>
        </is>
      </c>
      <c r="P57" s="6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21" t="n"/>
      <c r="Z57" s="5">
        <f>Y57-Y54</f>
        <v/>
      </c>
      <c r="AA57" s="48">
        <f>Z57/Y66</f>
        <v/>
      </c>
    </row>
    <row r="58">
      <c r="A58" s="11" t="inlineStr">
        <is>
          <t>容量</t>
        </is>
      </c>
      <c r="B58" s="54" t="n"/>
      <c r="C58" s="55" t="n"/>
      <c r="D58" s="55" t="n"/>
      <c r="E58" s="55" t="n"/>
      <c r="F58" s="55" t="n"/>
      <c r="G58" s="55" t="n"/>
      <c r="H58" s="55" t="n"/>
      <c r="I58" s="55" t="n"/>
      <c r="J58" s="42" t="n"/>
      <c r="K58" s="51" t="n"/>
      <c r="L58" s="51">
        <f>K58-K55</f>
        <v/>
      </c>
      <c r="M58" s="52">
        <f>L58/K67</f>
        <v/>
      </c>
      <c r="O58" s="11" t="inlineStr">
        <is>
          <t>容量</t>
        </is>
      </c>
      <c r="P58" s="54" t="n"/>
      <c r="Q58" s="55" t="n"/>
      <c r="R58" s="55" t="n"/>
      <c r="S58" s="55" t="n"/>
      <c r="T58" s="55" t="n"/>
      <c r="U58" s="55" t="n"/>
      <c r="V58" s="55" t="n"/>
      <c r="W58" s="55" t="n"/>
      <c r="X58" s="42" t="n"/>
      <c r="Y58" s="51" t="n"/>
      <c r="Z58" s="46">
        <f>Y58-Y55</f>
        <v/>
      </c>
      <c r="AA58" s="52">
        <f>Z58/Y67</f>
        <v/>
      </c>
    </row>
    <row r="59">
      <c r="A59" s="3" t="n"/>
      <c r="B59" s="4" t="n">
        <v>0.29</v>
      </c>
      <c r="C59" s="3" t="n">
        <v>0.28</v>
      </c>
      <c r="D59" s="3" t="n">
        <v>0.27</v>
      </c>
      <c r="E59" s="3" t="n">
        <v>0.26</v>
      </c>
      <c r="F59" s="3" t="n">
        <v>0.25</v>
      </c>
      <c r="G59" s="3" t="n">
        <v>0.24</v>
      </c>
      <c r="H59" s="3" t="n">
        <v>0.23</v>
      </c>
      <c r="I59" s="3" t="n">
        <v>0.22</v>
      </c>
      <c r="J59" s="3" t="n">
        <v>0.21</v>
      </c>
      <c r="K59" s="19" t="n"/>
      <c r="L59" s="3" t="n"/>
      <c r="M59" s="53" t="n"/>
      <c r="O59" s="3" t="n"/>
      <c r="P59" s="4" t="n">
        <v>0.29</v>
      </c>
      <c r="Q59" s="3" t="n">
        <v>0.28</v>
      </c>
      <c r="R59" s="3" t="n">
        <v>0.27</v>
      </c>
      <c r="S59" s="3" t="n">
        <v>0.26</v>
      </c>
      <c r="T59" s="3" t="n">
        <v>0.25</v>
      </c>
      <c r="U59" s="3" t="n">
        <v>0.24</v>
      </c>
      <c r="V59" s="3" t="n">
        <v>0.23</v>
      </c>
      <c r="W59" s="3" t="n">
        <v>0.22</v>
      </c>
      <c r="X59" s="3" t="n">
        <v>0.21</v>
      </c>
      <c r="Y59" s="19" t="n"/>
      <c r="Z59" s="3" t="n"/>
      <c r="AA59" s="53" t="n"/>
    </row>
    <row r="60">
      <c r="A60" s="5" t="inlineStr">
        <is>
          <t>时间</t>
        </is>
      </c>
      <c r="B60" s="6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21" t="n"/>
      <c r="L60" s="5">
        <f>K60-K57</f>
        <v/>
      </c>
      <c r="M60" s="48">
        <f>L60/K66</f>
        <v/>
      </c>
      <c r="O60" s="5" t="inlineStr">
        <is>
          <t>时间</t>
        </is>
      </c>
      <c r="P60" s="6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21" t="n"/>
      <c r="Z60" s="5">
        <f>Y60-Y57</f>
        <v/>
      </c>
      <c r="AA60" s="48">
        <f>Z60/Y66</f>
        <v/>
      </c>
    </row>
    <row r="61">
      <c r="A61" s="11" t="inlineStr">
        <is>
          <t>容量</t>
        </is>
      </c>
      <c r="B61" s="54" t="n"/>
      <c r="C61" s="55" t="n"/>
      <c r="D61" s="55" t="n"/>
      <c r="E61" s="55" t="n"/>
      <c r="F61" s="55" t="n"/>
      <c r="G61" s="55" t="n"/>
      <c r="H61" s="55" t="n"/>
      <c r="I61" s="55" t="n"/>
      <c r="J61" s="42" t="n"/>
      <c r="K61" s="51" t="n"/>
      <c r="L61" s="51">
        <f>K61-K58</f>
        <v/>
      </c>
      <c r="M61" s="52">
        <f>L61/K67</f>
        <v/>
      </c>
      <c r="O61" s="11" t="inlineStr">
        <is>
          <t>容量</t>
        </is>
      </c>
      <c r="P61" s="54" t="n"/>
      <c r="Q61" s="55" t="n"/>
      <c r="R61" s="55" t="n"/>
      <c r="S61" s="55" t="n"/>
      <c r="T61" s="55" t="n"/>
      <c r="U61" s="55" t="n"/>
      <c r="V61" s="55" t="n"/>
      <c r="W61" s="55" t="n"/>
      <c r="X61" s="42" t="n"/>
      <c r="Y61" s="51" t="n"/>
      <c r="Z61" s="46">
        <f>Y61-Y58</f>
        <v/>
      </c>
      <c r="AA61" s="52">
        <f>Z61/Y67</f>
        <v/>
      </c>
    </row>
    <row r="62">
      <c r="A62" s="3" t="n"/>
      <c r="B62" s="4" t="n">
        <v>0.19</v>
      </c>
      <c r="C62" s="3" t="n">
        <v>0.18</v>
      </c>
      <c r="D62" s="3" t="n">
        <v>0.17</v>
      </c>
      <c r="E62" s="3" t="n">
        <v>0.16</v>
      </c>
      <c r="F62" s="3" t="n">
        <v>0.15</v>
      </c>
      <c r="G62" s="3" t="n">
        <v>0.14</v>
      </c>
      <c r="H62" s="3" t="n">
        <v>0.13</v>
      </c>
      <c r="I62" s="3" t="n">
        <v>0.12</v>
      </c>
      <c r="J62" s="3" t="n">
        <v>0.11</v>
      </c>
      <c r="K62" s="19" t="n"/>
      <c r="L62" s="3" t="n"/>
      <c r="M62" s="53" t="n"/>
      <c r="O62" s="3" t="n"/>
      <c r="P62" s="4" t="n">
        <v>0.19</v>
      </c>
      <c r="Q62" s="3" t="n">
        <v>0.18</v>
      </c>
      <c r="R62" s="3" t="n">
        <v>0.17</v>
      </c>
      <c r="S62" s="3" t="n">
        <v>0.16</v>
      </c>
      <c r="T62" s="3" t="n">
        <v>0.15</v>
      </c>
      <c r="U62" s="3" t="n">
        <v>0.14</v>
      </c>
      <c r="V62" s="3" t="n">
        <v>0.13</v>
      </c>
      <c r="W62" s="3" t="n">
        <v>0.12</v>
      </c>
      <c r="X62" s="3" t="n">
        <v>0.11</v>
      </c>
      <c r="Y62" s="19" t="n"/>
      <c r="Z62" s="3" t="n"/>
      <c r="AA62" s="53" t="n"/>
    </row>
    <row r="63">
      <c r="A63" s="5" t="inlineStr">
        <is>
          <t>时间</t>
        </is>
      </c>
      <c r="B63" s="6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21" t="n"/>
      <c r="L63" s="5">
        <f>K63-K60</f>
        <v/>
      </c>
      <c r="M63" s="48">
        <f>L63/K66</f>
        <v/>
      </c>
      <c r="O63" s="5" t="inlineStr">
        <is>
          <t>时间</t>
        </is>
      </c>
      <c r="P63" s="6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21" t="n"/>
      <c r="Z63" s="5">
        <f>Y63-Y60</f>
        <v/>
      </c>
      <c r="AA63" s="48">
        <f>Z63/Y66</f>
        <v/>
      </c>
    </row>
    <row r="64">
      <c r="A64" s="11" t="inlineStr">
        <is>
          <t>容量</t>
        </is>
      </c>
      <c r="B64" s="54" t="n"/>
      <c r="C64" s="55" t="n"/>
      <c r="D64" s="55" t="n"/>
      <c r="E64" s="55" t="n"/>
      <c r="F64" s="55" t="n"/>
      <c r="G64" s="55" t="n"/>
      <c r="H64" s="55" t="n"/>
      <c r="I64" s="55" t="n"/>
      <c r="J64" s="42" t="n"/>
      <c r="K64" s="51" t="n"/>
      <c r="L64" s="51">
        <f>K64-K61</f>
        <v/>
      </c>
      <c r="M64" s="52">
        <f>L64/K67</f>
        <v/>
      </c>
      <c r="O64" s="11" t="inlineStr">
        <is>
          <t>容量</t>
        </is>
      </c>
      <c r="P64" s="54" t="n"/>
      <c r="Q64" s="55" t="n"/>
      <c r="R64" s="55" t="n"/>
      <c r="S64" s="55" t="n"/>
      <c r="T64" s="55" t="n"/>
      <c r="U64" s="55" t="n"/>
      <c r="V64" s="55" t="n"/>
      <c r="W64" s="55" t="n"/>
      <c r="X64" s="42" t="n"/>
      <c r="Y64" s="51" t="n"/>
      <c r="Z64" s="46">
        <f>Y64-Y61</f>
        <v/>
      </c>
      <c r="AA64" s="52">
        <f>Z64/Y67</f>
        <v/>
      </c>
    </row>
    <row r="65">
      <c r="A65" s="3" t="n"/>
      <c r="B65" s="4" t="n"/>
      <c r="C65" s="3" t="n"/>
      <c r="D65" s="3" t="n"/>
      <c r="E65" s="3" t="n"/>
      <c r="F65" s="3" t="n"/>
      <c r="G65" s="3" t="n"/>
      <c r="H65" s="3" t="n"/>
      <c r="I65" s="3" t="n"/>
      <c r="J65" s="3" t="n"/>
      <c r="K65" s="19" t="n">
        <v>0</v>
      </c>
      <c r="L65" s="3" t="n"/>
      <c r="M65" s="53" t="n"/>
      <c r="O65" s="3" t="n"/>
      <c r="P65" s="4" t="n"/>
      <c r="Q65" s="3" t="n"/>
      <c r="R65" s="3" t="n"/>
      <c r="S65" s="3" t="n"/>
      <c r="T65" s="3" t="n"/>
      <c r="U65" s="3" t="n"/>
      <c r="V65" s="3" t="n"/>
      <c r="W65" s="3" t="n"/>
      <c r="X65" s="3" t="n"/>
      <c r="Y65" s="19" t="n">
        <v>0</v>
      </c>
      <c r="Z65" s="3" t="n"/>
      <c r="AA65" s="53" t="n"/>
    </row>
    <row r="66">
      <c r="A66" s="5" t="inlineStr">
        <is>
          <t>时间</t>
        </is>
      </c>
      <c r="B66" s="6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5">
        <f>K66-K63</f>
        <v/>
      </c>
      <c r="M66" s="48">
        <f>L66/K66</f>
        <v/>
      </c>
      <c r="O66" s="5" t="inlineStr">
        <is>
          <t>时间</t>
        </is>
      </c>
      <c r="P66" s="6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5">
        <f>Y66-Y63</f>
        <v/>
      </c>
      <c r="AA66" s="48">
        <f>Z66/Y66</f>
        <v/>
      </c>
    </row>
    <row r="67">
      <c r="A67" s="11" t="inlineStr">
        <is>
          <t>容量</t>
        </is>
      </c>
      <c r="B67" s="49" t="n"/>
      <c r="C67" s="50" t="n"/>
      <c r="D67" s="50" t="n"/>
      <c r="E67" s="50" t="n"/>
      <c r="F67" s="50" t="n"/>
      <c r="G67" s="50" t="n"/>
      <c r="H67" s="50" t="n"/>
      <c r="I67" s="50" t="n"/>
      <c r="J67" s="46" t="n"/>
      <c r="K67" s="51" t="n"/>
      <c r="L67" s="51">
        <f>K67-K64</f>
        <v/>
      </c>
      <c r="M67" s="52">
        <f>L67/K67</f>
        <v/>
      </c>
      <c r="O67" s="11" t="inlineStr">
        <is>
          <t>容量</t>
        </is>
      </c>
      <c r="P67" s="49" t="n"/>
      <c r="Q67" s="50" t="n"/>
      <c r="R67" s="50" t="n"/>
      <c r="S67" s="50" t="n"/>
      <c r="T67" s="50" t="n"/>
      <c r="U67" s="50" t="n"/>
      <c r="V67" s="50" t="n"/>
      <c r="W67" s="50" t="n"/>
      <c r="X67" s="46" t="n"/>
      <c r="Y67" s="51" t="n"/>
      <c r="Z67" s="46">
        <f>Y67-Y64</f>
        <v/>
      </c>
      <c r="AA67" s="52">
        <f>Z67/Y67</f>
        <v/>
      </c>
    </row>
    <row r="68" ht="14.25" customHeight="1" s="35">
      <c r="A68" s="15" t="inlineStr">
        <is>
          <t>容量</t>
        </is>
      </c>
      <c r="B68" s="16" t="n"/>
      <c r="C68" s="43" t="n"/>
      <c r="D68" s="43" t="n"/>
      <c r="E68" s="44" t="n"/>
      <c r="F68" s="15" t="inlineStr">
        <is>
          <t>能量</t>
        </is>
      </c>
      <c r="G68" s="45" t="n"/>
      <c r="H68" s="43" t="n"/>
      <c r="I68" s="43" t="n"/>
      <c r="J68" s="44" t="n"/>
      <c r="K68" s="15" t="n"/>
      <c r="L68" s="18" t="n"/>
      <c r="M68" s="44" t="n"/>
      <c r="O68" s="15" t="inlineStr">
        <is>
          <t>容量</t>
        </is>
      </c>
      <c r="P68" s="16" t="n"/>
      <c r="Q68" s="43" t="n"/>
      <c r="R68" s="43" t="n"/>
      <c r="S68" s="44" t="n"/>
      <c r="T68" s="15" t="inlineStr">
        <is>
          <t>能量</t>
        </is>
      </c>
      <c r="U68" s="45" t="n"/>
      <c r="V68" s="43" t="n"/>
      <c r="W68" s="43" t="n"/>
      <c r="X68" s="44" t="n"/>
      <c r="Y68" s="15" t="n"/>
      <c r="Z68" s="18" t="n"/>
      <c r="AA68" s="44" t="n"/>
    </row>
    <row r="69" ht="219" customHeight="1" s="35">
      <c r="A69" s="18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43" t="n"/>
      <c r="M69" s="44" t="n"/>
      <c r="O69" s="18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  <c r="AA69" s="44" t="n"/>
    </row>
    <row r="70"/>
    <row r="71" ht="25.5" customHeight="1" s="35">
      <c r="A71" s="1" t="inlineStr">
        <is>
          <t>数显测试</t>
        </is>
      </c>
      <c r="O71" s="1" t="inlineStr">
        <is>
          <t>数显测试</t>
        </is>
      </c>
    </row>
    <row r="72" ht="25.5" customHeight="1" s="35">
      <c r="A72" s="2" t="inlineStr">
        <is>
          <t xml:space="preserve">PB519  C口  12V放电  1# </t>
        </is>
      </c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1" t="n"/>
      <c r="O72" s="2" t="inlineStr">
        <is>
          <t xml:space="preserve">PB519  C线  12V放电  2# </t>
        </is>
      </c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1" t="n"/>
    </row>
    <row r="73" ht="14" customHeight="1" s="35">
      <c r="A73" s="3" t="n"/>
      <c r="B73" s="4" t="n"/>
      <c r="C73" s="3" t="n"/>
      <c r="D73" s="3" t="n"/>
      <c r="E73" s="3" t="n"/>
      <c r="F73" s="3" t="n"/>
      <c r="G73" s="3" t="n"/>
      <c r="H73" s="3" t="n"/>
      <c r="I73" s="3" t="n"/>
      <c r="J73" s="3" t="n"/>
      <c r="K73" s="19" t="n"/>
      <c r="L73" s="3" t="inlineStr">
        <is>
          <t>每10%</t>
        </is>
      </c>
      <c r="M73" s="20" t="inlineStr">
        <is>
          <t>占总时长比
占总容量比</t>
        </is>
      </c>
      <c r="O73" s="3" t="n"/>
      <c r="P73" s="4" t="n"/>
      <c r="Q73" s="3" t="n"/>
      <c r="R73" s="3" t="n"/>
      <c r="S73" s="3" t="n"/>
      <c r="T73" s="3" t="n"/>
      <c r="U73" s="3" t="n"/>
      <c r="V73" s="3" t="n"/>
      <c r="W73" s="3" t="n"/>
      <c r="X73" s="3" t="n"/>
      <c r="Y73" s="19" t="n"/>
      <c r="Z73" s="3" t="inlineStr">
        <is>
          <t>每10%</t>
        </is>
      </c>
      <c r="AA73" s="20" t="inlineStr">
        <is>
          <t>占总时长比
占总容量比</t>
        </is>
      </c>
    </row>
    <row r="74">
      <c r="A74" s="5" t="inlineStr">
        <is>
          <t>时间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10" t="n"/>
      <c r="K74" s="21" t="n"/>
      <c r="L74" s="5">
        <f>K74-B74</f>
        <v/>
      </c>
      <c r="M74" s="5">
        <f>L74/K101</f>
        <v/>
      </c>
      <c r="O74" s="5" t="inlineStr">
        <is>
          <t>时间</t>
        </is>
      </c>
      <c r="P74" s="6" t="n"/>
      <c r="Q74" s="6" t="n"/>
      <c r="R74" s="6" t="n"/>
      <c r="S74" s="6" t="n"/>
      <c r="T74" s="6" t="n"/>
      <c r="U74" s="6" t="n"/>
      <c r="V74" s="6" t="n"/>
      <c r="W74" s="6" t="n"/>
      <c r="X74" s="10" t="n"/>
      <c r="Y74" s="21" t="n"/>
      <c r="Z74" s="5">
        <f>Y74-P74</f>
        <v/>
      </c>
      <c r="AA74" s="47">
        <f>Z74/Y101</f>
        <v/>
      </c>
    </row>
    <row r="75">
      <c r="A75" s="11" t="inlineStr">
        <is>
          <t>容量</t>
        </is>
      </c>
      <c r="B75" s="49" t="n"/>
      <c r="C75" s="50" t="n"/>
      <c r="D75" s="50" t="n"/>
      <c r="E75" s="50" t="n"/>
      <c r="F75" s="50" t="n"/>
      <c r="G75" s="50" t="n"/>
      <c r="H75" s="50" t="n"/>
      <c r="I75" s="50" t="n"/>
      <c r="J75" s="46" t="n"/>
      <c r="K75" s="51" t="n"/>
      <c r="L75" s="46">
        <f>K75-B75</f>
        <v/>
      </c>
      <c r="M75" s="11">
        <f>L75/K102</f>
        <v/>
      </c>
      <c r="O75" s="11" t="inlineStr">
        <is>
          <t>容量</t>
        </is>
      </c>
      <c r="P75" s="49" t="n"/>
      <c r="Q75" s="50" t="n"/>
      <c r="R75" s="50" t="n"/>
      <c r="S75" s="50" t="n"/>
      <c r="T75" s="50" t="n"/>
      <c r="U75" s="50" t="n"/>
      <c r="V75" s="50" t="n"/>
      <c r="W75" s="50" t="n"/>
      <c r="X75" s="46" t="n"/>
      <c r="Y75" s="51" t="n"/>
      <c r="Z75" s="46">
        <f>Y75-P75</f>
        <v/>
      </c>
      <c r="AA75" s="56">
        <f>Z75/Y102</f>
        <v/>
      </c>
    </row>
    <row r="76">
      <c r="A76" s="3" t="n"/>
      <c r="B76" s="4" t="n">
        <v>0.89</v>
      </c>
      <c r="C76" s="3" t="n">
        <v>0.88</v>
      </c>
      <c r="D76" s="3" t="n">
        <v>0.87</v>
      </c>
      <c r="E76" s="3" t="n">
        <v>0.86</v>
      </c>
      <c r="F76" s="3" t="n">
        <v>0.85</v>
      </c>
      <c r="G76" s="3" t="n">
        <v>0.84</v>
      </c>
      <c r="H76" s="3" t="n">
        <v>0.83</v>
      </c>
      <c r="I76" s="3" t="n">
        <v>0.82</v>
      </c>
      <c r="J76" s="3" t="n">
        <v>0.8100000000000001</v>
      </c>
      <c r="K76" s="19" t="n"/>
      <c r="L76" s="3" t="n"/>
      <c r="M76" s="3" t="n"/>
      <c r="O76" s="3" t="n"/>
      <c r="P76" s="4" t="n">
        <v>0.89</v>
      </c>
      <c r="Q76" s="3" t="n">
        <v>0.88</v>
      </c>
      <c r="R76" s="3" t="n">
        <v>0.87</v>
      </c>
      <c r="S76" s="3" t="n">
        <v>0.86</v>
      </c>
      <c r="T76" s="3" t="n">
        <v>0.85</v>
      </c>
      <c r="U76" s="3" t="n">
        <v>0.84</v>
      </c>
      <c r="V76" s="3" t="n">
        <v>0.83</v>
      </c>
      <c r="W76" s="3" t="n">
        <v>0.82</v>
      </c>
      <c r="X76" s="3" t="n">
        <v>0.8100000000000001</v>
      </c>
      <c r="Y76" s="19" t="n"/>
      <c r="Z76" s="3" t="n"/>
      <c r="AA76" s="57" t="n"/>
    </row>
    <row r="77">
      <c r="A77" s="5" t="inlineStr">
        <is>
          <t>时间</t>
        </is>
      </c>
      <c r="B77" s="6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21" t="n"/>
      <c r="L77" s="5">
        <f>K77-K74</f>
        <v/>
      </c>
      <c r="M77" s="5">
        <f>L77/K101</f>
        <v/>
      </c>
      <c r="O77" s="5" t="inlineStr">
        <is>
          <t>时间</t>
        </is>
      </c>
      <c r="P77" s="6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21" t="n"/>
      <c r="Z77" s="5">
        <f>Y77-Y74</f>
        <v/>
      </c>
      <c r="AA77" s="47">
        <f>Z77/Y101</f>
        <v/>
      </c>
    </row>
    <row r="78">
      <c r="A78" s="11" t="inlineStr">
        <is>
          <t>容量</t>
        </is>
      </c>
      <c r="B78" s="54" t="n"/>
      <c r="C78" s="55" t="n"/>
      <c r="D78" s="55" t="n"/>
      <c r="E78" s="55" t="n"/>
      <c r="F78" s="55" t="n"/>
      <c r="G78" s="55" t="n"/>
      <c r="H78" s="55" t="n"/>
      <c r="I78" s="55" t="n"/>
      <c r="J78" s="42" t="n"/>
      <c r="K78" s="51" t="n"/>
      <c r="L78" s="46">
        <f>K78-K75</f>
        <v/>
      </c>
      <c r="M78" s="11">
        <f>L78/K102</f>
        <v/>
      </c>
      <c r="O78" s="11" t="inlineStr">
        <is>
          <t>容量</t>
        </is>
      </c>
      <c r="P78" s="54" t="n"/>
      <c r="Q78" s="55" t="n"/>
      <c r="R78" s="55" t="n"/>
      <c r="S78" s="55" t="n"/>
      <c r="T78" s="55" t="n"/>
      <c r="U78" s="55" t="n"/>
      <c r="V78" s="55" t="n"/>
      <c r="W78" s="55" t="n"/>
      <c r="X78" s="42" t="n"/>
      <c r="Y78" s="58" t="n"/>
      <c r="Z78" s="42">
        <f>Y78-Y75</f>
        <v/>
      </c>
      <c r="AA78" s="56">
        <f>Z78/Y102</f>
        <v/>
      </c>
    </row>
    <row r="79">
      <c r="A79" s="3" t="n"/>
      <c r="B79" s="4" t="n">
        <v>0.79</v>
      </c>
      <c r="C79" s="3" t="n">
        <v>0.78</v>
      </c>
      <c r="D79" s="3" t="n">
        <v>0.77</v>
      </c>
      <c r="E79" s="3" t="n">
        <v>0.76</v>
      </c>
      <c r="F79" s="3" t="n">
        <v>0.75</v>
      </c>
      <c r="G79" s="3" t="n">
        <v>0.74</v>
      </c>
      <c r="H79" s="3" t="n">
        <v>0.73</v>
      </c>
      <c r="I79" s="3" t="n">
        <v>0.72</v>
      </c>
      <c r="J79" s="3" t="n">
        <v>0.71</v>
      </c>
      <c r="K79" s="19" t="n"/>
      <c r="L79" s="3" t="n"/>
      <c r="M79" s="3" t="n"/>
      <c r="O79" s="3" t="n"/>
      <c r="P79" s="4" t="n">
        <v>0.79</v>
      </c>
      <c r="Q79" s="3" t="n">
        <v>0.78</v>
      </c>
      <c r="R79" s="3" t="n">
        <v>0.77</v>
      </c>
      <c r="S79" s="3" t="n">
        <v>0.76</v>
      </c>
      <c r="T79" s="3" t="n">
        <v>0.75</v>
      </c>
      <c r="U79" s="3" t="n">
        <v>0.74</v>
      </c>
      <c r="V79" s="3" t="n">
        <v>0.73</v>
      </c>
      <c r="W79" s="3" t="n">
        <v>0.72</v>
      </c>
      <c r="X79" s="3" t="n">
        <v>0.71</v>
      </c>
      <c r="Y79" s="19" t="n"/>
      <c r="Z79" s="3" t="n"/>
      <c r="AA79" s="57" t="n"/>
    </row>
    <row r="80">
      <c r="A80" s="5" t="inlineStr">
        <is>
          <t>时间</t>
        </is>
      </c>
      <c r="B80" s="6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21" t="n"/>
      <c r="L80" s="5">
        <f>K80-K77</f>
        <v/>
      </c>
      <c r="M80" s="5">
        <f>L80/K101</f>
        <v/>
      </c>
      <c r="O80" s="5" t="inlineStr">
        <is>
          <t>时间</t>
        </is>
      </c>
      <c r="P80" s="6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21" t="n"/>
      <c r="Z80" s="5">
        <f>Y80-Y77</f>
        <v/>
      </c>
      <c r="AA80" s="47">
        <f>Z80/Y101</f>
        <v/>
      </c>
    </row>
    <row r="81">
      <c r="A81" s="11" t="inlineStr">
        <is>
          <t>容量</t>
        </is>
      </c>
      <c r="B81" s="54" t="n"/>
      <c r="C81" s="55" t="n"/>
      <c r="D81" s="55" t="n"/>
      <c r="E81" s="55" t="n"/>
      <c r="F81" s="55" t="n"/>
      <c r="G81" s="55" t="n"/>
      <c r="H81" s="55" t="n"/>
      <c r="I81" s="55" t="n"/>
      <c r="J81" s="42" t="n"/>
      <c r="K81" s="51" t="n"/>
      <c r="L81" s="46">
        <f>K81-K78</f>
        <v/>
      </c>
      <c r="M81" s="11">
        <f>L81/K102</f>
        <v/>
      </c>
      <c r="O81" s="11" t="inlineStr">
        <is>
          <t>容量</t>
        </is>
      </c>
      <c r="P81" s="54" t="n"/>
      <c r="Q81" s="55" t="n"/>
      <c r="R81" s="55" t="n"/>
      <c r="S81" s="55" t="n"/>
      <c r="T81" s="55" t="n"/>
      <c r="U81" s="55" t="n"/>
      <c r="V81" s="55" t="n"/>
      <c r="W81" s="55" t="n"/>
      <c r="X81" s="42" t="n"/>
      <c r="Y81" s="58" t="n"/>
      <c r="Z81" s="42">
        <f>Y81-Y78</f>
        <v/>
      </c>
      <c r="AA81" s="56">
        <f>Z81/Y102</f>
        <v/>
      </c>
    </row>
    <row r="82">
      <c r="A82" s="3" t="n"/>
      <c r="B82" s="4" t="n">
        <v>0.6899999999999999</v>
      </c>
      <c r="C82" s="3" t="n">
        <v>0.68</v>
      </c>
      <c r="D82" s="3" t="n">
        <v>0.67</v>
      </c>
      <c r="E82" s="3" t="n">
        <v>0.66</v>
      </c>
      <c r="F82" s="3" t="n">
        <v>0.65</v>
      </c>
      <c r="G82" s="3" t="n">
        <v>0.64</v>
      </c>
      <c r="H82" s="3" t="n">
        <v>0.63</v>
      </c>
      <c r="I82" s="3" t="n">
        <v>0.62</v>
      </c>
      <c r="J82" s="3" t="n">
        <v>0.61</v>
      </c>
      <c r="K82" s="19" t="n"/>
      <c r="L82" s="3" t="n"/>
      <c r="M82" s="3" t="n"/>
      <c r="O82" s="3" t="n"/>
      <c r="P82" s="4" t="n">
        <v>0.6899999999999999</v>
      </c>
      <c r="Q82" s="3" t="n">
        <v>0.68</v>
      </c>
      <c r="R82" s="3" t="n">
        <v>0.67</v>
      </c>
      <c r="S82" s="3" t="n">
        <v>0.66</v>
      </c>
      <c r="T82" s="3" t="n">
        <v>0.65</v>
      </c>
      <c r="U82" s="3" t="n">
        <v>0.64</v>
      </c>
      <c r="V82" s="3" t="n">
        <v>0.63</v>
      </c>
      <c r="W82" s="3" t="n">
        <v>0.62</v>
      </c>
      <c r="X82" s="3" t="n">
        <v>0.61</v>
      </c>
      <c r="Y82" s="19" t="n"/>
      <c r="Z82" s="3" t="n"/>
      <c r="AA82" s="57" t="n"/>
    </row>
    <row r="83">
      <c r="A83" s="5" t="inlineStr">
        <is>
          <t>时间</t>
        </is>
      </c>
      <c r="B83" s="6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21" t="n"/>
      <c r="L83" s="5">
        <f>K83-K80</f>
        <v/>
      </c>
      <c r="M83" s="5">
        <f>L83/K101</f>
        <v/>
      </c>
      <c r="O83" s="5" t="inlineStr">
        <is>
          <t>时间</t>
        </is>
      </c>
      <c r="P83" s="6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21" t="n"/>
      <c r="Z83" s="5">
        <f>Y83-Y80</f>
        <v/>
      </c>
      <c r="AA83" s="47">
        <f>Z83/Y101</f>
        <v/>
      </c>
    </row>
    <row r="84">
      <c r="A84" s="11" t="inlineStr">
        <is>
          <t>容量</t>
        </is>
      </c>
      <c r="B84" s="54" t="n"/>
      <c r="C84" s="55" t="n"/>
      <c r="D84" s="55" t="n"/>
      <c r="E84" s="55" t="n"/>
      <c r="F84" s="55" t="n"/>
      <c r="G84" s="55" t="n"/>
      <c r="H84" s="55" t="n"/>
      <c r="I84" s="55" t="n"/>
      <c r="J84" s="42" t="n"/>
      <c r="K84" s="51" t="n"/>
      <c r="L84" s="46">
        <f>K84-K81</f>
        <v/>
      </c>
      <c r="M84" s="11">
        <f>L84/K102</f>
        <v/>
      </c>
      <c r="O84" s="11" t="inlineStr">
        <is>
          <t>容量</t>
        </is>
      </c>
      <c r="P84" s="54" t="n"/>
      <c r="Q84" s="55" t="n"/>
      <c r="R84" s="55" t="n"/>
      <c r="S84" s="55" t="n"/>
      <c r="T84" s="55" t="n"/>
      <c r="U84" s="55" t="n"/>
      <c r="V84" s="55" t="n"/>
      <c r="W84" s="55" t="n"/>
      <c r="X84" s="42" t="n"/>
      <c r="Y84" s="58" t="n"/>
      <c r="Z84" s="42">
        <f>Y84-Y81</f>
        <v/>
      </c>
      <c r="AA84" s="56">
        <f>Z84/Y102</f>
        <v/>
      </c>
    </row>
    <row r="85">
      <c r="A85" s="3" t="n"/>
      <c r="B85" s="4" t="n">
        <v>0.59</v>
      </c>
      <c r="C85" s="3" t="n">
        <v>0.58</v>
      </c>
      <c r="D85" s="3" t="n">
        <v>0.57</v>
      </c>
      <c r="E85" s="3" t="n">
        <v>0.5600000000000001</v>
      </c>
      <c r="F85" s="3" t="n">
        <v>0.55</v>
      </c>
      <c r="G85" s="3" t="n">
        <v>0.54</v>
      </c>
      <c r="H85" s="3" t="n">
        <v>0.53</v>
      </c>
      <c r="I85" s="3" t="n">
        <v>0.52</v>
      </c>
      <c r="J85" s="3" t="n">
        <v>0.51</v>
      </c>
      <c r="K85" s="19" t="n"/>
      <c r="L85" s="3" t="n"/>
      <c r="M85" s="3" t="n"/>
      <c r="O85" s="3" t="n"/>
      <c r="P85" s="4" t="n">
        <v>0.59</v>
      </c>
      <c r="Q85" s="3" t="n">
        <v>0.58</v>
      </c>
      <c r="R85" s="3" t="n">
        <v>0.57</v>
      </c>
      <c r="S85" s="3" t="n">
        <v>0.5600000000000001</v>
      </c>
      <c r="T85" s="3" t="n">
        <v>0.55</v>
      </c>
      <c r="U85" s="3" t="n">
        <v>0.54</v>
      </c>
      <c r="V85" s="3" t="n">
        <v>0.53</v>
      </c>
      <c r="W85" s="3" t="n">
        <v>0.52</v>
      </c>
      <c r="X85" s="3" t="n">
        <v>0.51</v>
      </c>
      <c r="Y85" s="19" t="n"/>
      <c r="Z85" s="3" t="n"/>
      <c r="AA85" s="57" t="n"/>
    </row>
    <row r="86">
      <c r="A86" s="5" t="inlineStr">
        <is>
          <t>时间</t>
        </is>
      </c>
      <c r="B86" s="6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21" t="n"/>
      <c r="L86" s="5">
        <f>K86-K83</f>
        <v/>
      </c>
      <c r="M86" s="5">
        <f>L86/K101</f>
        <v/>
      </c>
      <c r="O86" s="5" t="inlineStr">
        <is>
          <t>时间</t>
        </is>
      </c>
      <c r="P86" s="6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21" t="n"/>
      <c r="Z86" s="5">
        <f>Y86-Y83</f>
        <v/>
      </c>
      <c r="AA86" s="47">
        <f>Z86/Y101</f>
        <v/>
      </c>
    </row>
    <row r="87">
      <c r="A87" s="11" t="inlineStr">
        <is>
          <t>容量</t>
        </is>
      </c>
      <c r="B87" s="54" t="n"/>
      <c r="C87" s="55" t="n"/>
      <c r="D87" s="55" t="n"/>
      <c r="E87" s="55" t="n"/>
      <c r="F87" s="55" t="n"/>
      <c r="G87" s="55" t="n"/>
      <c r="H87" s="55" t="n"/>
      <c r="I87" s="55" t="n"/>
      <c r="J87" s="42" t="n"/>
      <c r="K87" s="51" t="n"/>
      <c r="L87" s="46">
        <f>K87-K84</f>
        <v/>
      </c>
      <c r="M87" s="11">
        <f>L87/K102</f>
        <v/>
      </c>
      <c r="O87" s="11" t="inlineStr">
        <is>
          <t>容量</t>
        </is>
      </c>
      <c r="P87" s="54" t="n"/>
      <c r="Q87" s="55" t="n"/>
      <c r="R87" s="55" t="n"/>
      <c r="S87" s="55" t="n"/>
      <c r="T87" s="55" t="n"/>
      <c r="U87" s="55" t="n"/>
      <c r="V87" s="55" t="n"/>
      <c r="W87" s="55" t="n"/>
      <c r="X87" s="42" t="n"/>
      <c r="Y87" s="58" t="n"/>
      <c r="Z87" s="42">
        <f>Y87-Y84</f>
        <v/>
      </c>
      <c r="AA87" s="56">
        <f>Z87/Y102</f>
        <v/>
      </c>
    </row>
    <row r="88">
      <c r="A88" s="3" t="n"/>
      <c r="B88" s="4" t="n">
        <v>0.49</v>
      </c>
      <c r="C88" s="3" t="n">
        <v>0.48</v>
      </c>
      <c r="D88" s="3" t="n">
        <v>0.47</v>
      </c>
      <c r="E88" s="3" t="n">
        <v>0.46</v>
      </c>
      <c r="F88" s="3" t="n">
        <v>0.45</v>
      </c>
      <c r="G88" s="3" t="n">
        <v>0.44</v>
      </c>
      <c r="H88" s="3" t="n">
        <v>0.43</v>
      </c>
      <c r="I88" s="3" t="n">
        <v>0.42</v>
      </c>
      <c r="J88" s="3" t="n">
        <v>0.41</v>
      </c>
      <c r="K88" s="19" t="n"/>
      <c r="L88" s="3" t="n"/>
      <c r="M88" s="3" t="n"/>
      <c r="O88" s="3" t="n"/>
      <c r="P88" s="4" t="n">
        <v>0.49</v>
      </c>
      <c r="Q88" s="3" t="n">
        <v>0.48</v>
      </c>
      <c r="R88" s="3" t="n">
        <v>0.47</v>
      </c>
      <c r="S88" s="3" t="n">
        <v>0.46</v>
      </c>
      <c r="T88" s="3" t="n">
        <v>0.45</v>
      </c>
      <c r="U88" s="3" t="n">
        <v>0.44</v>
      </c>
      <c r="V88" s="3" t="n">
        <v>0.43</v>
      </c>
      <c r="W88" s="3" t="n">
        <v>0.42</v>
      </c>
      <c r="X88" s="3" t="n">
        <v>0.41</v>
      </c>
      <c r="Y88" s="19" t="n"/>
      <c r="Z88" s="3" t="n"/>
      <c r="AA88" s="57" t="n"/>
    </row>
    <row r="89">
      <c r="A89" s="5" t="inlineStr">
        <is>
          <t>时间</t>
        </is>
      </c>
      <c r="B89" s="6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21" t="n"/>
      <c r="L89" s="5">
        <f>K89-K86</f>
        <v/>
      </c>
      <c r="M89" s="5">
        <f>L89/K101</f>
        <v/>
      </c>
      <c r="O89" s="5" t="inlineStr">
        <is>
          <t>时间</t>
        </is>
      </c>
      <c r="P89" s="6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21" t="n"/>
      <c r="Z89" s="5">
        <f>Y89-Y86</f>
        <v/>
      </c>
      <c r="AA89" s="47">
        <f>Z89/Y101</f>
        <v/>
      </c>
    </row>
    <row r="90">
      <c r="A90" s="11" t="inlineStr">
        <is>
          <t>容量</t>
        </is>
      </c>
      <c r="B90" s="54" t="n"/>
      <c r="C90" s="55" t="n"/>
      <c r="D90" s="55" t="n"/>
      <c r="E90" s="55" t="n"/>
      <c r="F90" s="55" t="n"/>
      <c r="G90" s="55" t="n"/>
      <c r="H90" s="55" t="n"/>
      <c r="I90" s="55" t="n"/>
      <c r="J90" s="42" t="n"/>
      <c r="K90" s="51" t="n"/>
      <c r="L90" s="46">
        <f>K90-K87</f>
        <v/>
      </c>
      <c r="M90" s="11">
        <f>L90/K102</f>
        <v/>
      </c>
      <c r="O90" s="11" t="inlineStr">
        <is>
          <t>容量</t>
        </is>
      </c>
      <c r="P90" s="54" t="n"/>
      <c r="Q90" s="55" t="n"/>
      <c r="R90" s="55" t="n"/>
      <c r="S90" s="55" t="n"/>
      <c r="T90" s="55" t="n"/>
      <c r="U90" s="55" t="n"/>
      <c r="V90" s="55" t="n"/>
      <c r="W90" s="55" t="n"/>
      <c r="X90" s="42" t="n"/>
      <c r="Y90" s="58" t="n"/>
      <c r="Z90" s="42">
        <f>Y90-Y87</f>
        <v/>
      </c>
      <c r="AA90" s="56">
        <f>Z90/Y102</f>
        <v/>
      </c>
    </row>
    <row r="91">
      <c r="A91" s="3" t="n"/>
      <c r="B91" s="4" t="n">
        <v>0.39</v>
      </c>
      <c r="C91" s="3" t="n">
        <v>0.38</v>
      </c>
      <c r="D91" s="14" t="n">
        <v>0.37</v>
      </c>
      <c r="E91" s="3" t="n">
        <v>0.36</v>
      </c>
      <c r="F91" s="3" t="n">
        <v>0.35</v>
      </c>
      <c r="G91" s="3" t="n">
        <v>0.34</v>
      </c>
      <c r="H91" s="3" t="n">
        <v>0.33</v>
      </c>
      <c r="I91" s="3" t="n">
        <v>0.32</v>
      </c>
      <c r="J91" s="3" t="n">
        <v>0.31</v>
      </c>
      <c r="K91" s="19" t="n"/>
      <c r="L91" s="3" t="n"/>
      <c r="M91" s="3" t="n"/>
      <c r="O91" s="3" t="n"/>
      <c r="P91" s="4" t="n">
        <v>0.39</v>
      </c>
      <c r="Q91" s="3" t="n">
        <v>0.38</v>
      </c>
      <c r="R91" s="14" t="n">
        <v>0.37</v>
      </c>
      <c r="S91" s="3" t="n">
        <v>0.36</v>
      </c>
      <c r="T91" s="3" t="n">
        <v>0.35</v>
      </c>
      <c r="U91" s="3" t="n">
        <v>0.34</v>
      </c>
      <c r="V91" s="3" t="n">
        <v>0.33</v>
      </c>
      <c r="W91" s="3" t="n">
        <v>0.32</v>
      </c>
      <c r="X91" s="3" t="n">
        <v>0.31</v>
      </c>
      <c r="Y91" s="19" t="n"/>
      <c r="Z91" s="3" t="n"/>
      <c r="AA91" s="57" t="n"/>
    </row>
    <row r="92">
      <c r="A92" s="5" t="inlineStr">
        <is>
          <t>时间</t>
        </is>
      </c>
      <c r="B92" s="6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21" t="n"/>
      <c r="L92" s="5">
        <f>K92-K89</f>
        <v/>
      </c>
      <c r="M92" s="5">
        <f>L92/K101</f>
        <v/>
      </c>
      <c r="O92" s="5" t="inlineStr">
        <is>
          <t>时间</t>
        </is>
      </c>
      <c r="P92" s="6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21" t="n"/>
      <c r="Z92" s="5">
        <f>Y92-Y89</f>
        <v/>
      </c>
      <c r="AA92" s="47">
        <f>Z92/Y101</f>
        <v/>
      </c>
    </row>
    <row r="93">
      <c r="A93" s="11" t="inlineStr">
        <is>
          <t>容量</t>
        </is>
      </c>
      <c r="B93" s="54" t="n"/>
      <c r="C93" s="55" t="n"/>
      <c r="D93" s="55" t="n"/>
      <c r="E93" s="55" t="n"/>
      <c r="F93" s="55" t="n"/>
      <c r="G93" s="55" t="n"/>
      <c r="H93" s="55" t="n"/>
      <c r="I93" s="55" t="n"/>
      <c r="J93" s="42" t="n"/>
      <c r="K93" s="51" t="n"/>
      <c r="L93" s="46">
        <f>K93-K90</f>
        <v/>
      </c>
      <c r="M93" s="11">
        <f>L93/K102</f>
        <v/>
      </c>
      <c r="O93" s="11" t="inlineStr">
        <is>
          <t>容量</t>
        </is>
      </c>
      <c r="P93" s="54" t="n"/>
      <c r="Q93" s="55" t="n"/>
      <c r="R93" s="55" t="n"/>
      <c r="S93" s="55" t="n"/>
      <c r="T93" s="55" t="n"/>
      <c r="U93" s="55" t="n"/>
      <c r="V93" s="55" t="n"/>
      <c r="W93" s="55" t="n"/>
      <c r="X93" s="42" t="n"/>
      <c r="Y93" s="58" t="n"/>
      <c r="Z93" s="42">
        <f>Y93-Y90</f>
        <v/>
      </c>
      <c r="AA93" s="56">
        <f>Z93/Y102</f>
        <v/>
      </c>
    </row>
    <row r="94">
      <c r="A94" s="3" t="n"/>
      <c r="B94" s="4" t="n">
        <v>0.29</v>
      </c>
      <c r="C94" s="3" t="n">
        <v>0.28</v>
      </c>
      <c r="D94" s="3" t="n">
        <v>0.27</v>
      </c>
      <c r="E94" s="3" t="n">
        <v>0.26</v>
      </c>
      <c r="F94" s="3" t="n">
        <v>0.25</v>
      </c>
      <c r="G94" s="3" t="n">
        <v>0.24</v>
      </c>
      <c r="H94" s="3" t="n">
        <v>0.23</v>
      </c>
      <c r="I94" s="3" t="n">
        <v>0.22</v>
      </c>
      <c r="J94" s="3" t="n">
        <v>0.21</v>
      </c>
      <c r="K94" s="19" t="n"/>
      <c r="L94" s="3" t="n"/>
      <c r="M94" s="3" t="n"/>
      <c r="O94" s="3" t="n"/>
      <c r="P94" s="4" t="n">
        <v>0.29</v>
      </c>
      <c r="Q94" s="3" t="n">
        <v>0.28</v>
      </c>
      <c r="R94" s="3" t="n">
        <v>0.27</v>
      </c>
      <c r="S94" s="3" t="n">
        <v>0.26</v>
      </c>
      <c r="T94" s="3" t="n">
        <v>0.25</v>
      </c>
      <c r="U94" s="3" t="n">
        <v>0.24</v>
      </c>
      <c r="V94" s="3" t="n">
        <v>0.23</v>
      </c>
      <c r="W94" s="3" t="n">
        <v>0.22</v>
      </c>
      <c r="X94" s="3" t="n">
        <v>0.21</v>
      </c>
      <c r="Y94" s="19" t="n"/>
      <c r="Z94" s="3" t="n"/>
      <c r="AA94" s="57" t="n"/>
    </row>
    <row r="95">
      <c r="A95" s="5" t="inlineStr">
        <is>
          <t>时间</t>
        </is>
      </c>
      <c r="B95" s="6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21" t="n"/>
      <c r="L95" s="5">
        <f>K95-K92</f>
        <v/>
      </c>
      <c r="M95" s="5">
        <f>L95/K101</f>
        <v/>
      </c>
      <c r="O95" s="5" t="inlineStr">
        <is>
          <t>时间</t>
        </is>
      </c>
      <c r="P95" s="6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21" t="n"/>
      <c r="Z95" s="5">
        <f>Y95-Y92</f>
        <v/>
      </c>
      <c r="AA95" s="47">
        <f>Z95/Y101</f>
        <v/>
      </c>
    </row>
    <row r="96">
      <c r="A96" s="11" t="inlineStr">
        <is>
          <t>容量</t>
        </is>
      </c>
      <c r="B96" s="54" t="n"/>
      <c r="C96" s="55" t="n"/>
      <c r="D96" s="55" t="n"/>
      <c r="E96" s="55" t="n"/>
      <c r="F96" s="55" t="n"/>
      <c r="G96" s="55" t="n"/>
      <c r="H96" s="55" t="n"/>
      <c r="I96" s="55" t="n"/>
      <c r="J96" s="42" t="n"/>
      <c r="K96" s="51" t="n"/>
      <c r="L96" s="46">
        <f>K96-K93</f>
        <v/>
      </c>
      <c r="M96" s="11">
        <f>L96/K102</f>
        <v/>
      </c>
      <c r="O96" s="11" t="inlineStr">
        <is>
          <t>容量</t>
        </is>
      </c>
      <c r="P96" s="54" t="n"/>
      <c r="Q96" s="55" t="n"/>
      <c r="R96" s="55" t="n"/>
      <c r="S96" s="55" t="n"/>
      <c r="T96" s="55" t="n"/>
      <c r="U96" s="55" t="n"/>
      <c r="V96" s="55" t="n"/>
      <c r="W96" s="55" t="n"/>
      <c r="X96" s="42" t="n"/>
      <c r="Y96" s="58" t="n"/>
      <c r="Z96" s="42">
        <f>Y96-Y93</f>
        <v/>
      </c>
      <c r="AA96" s="56">
        <f>Z96/Y102</f>
        <v/>
      </c>
    </row>
    <row r="97">
      <c r="A97" s="3" t="n"/>
      <c r="B97" s="4" t="n">
        <v>0.19</v>
      </c>
      <c r="C97" s="3" t="n">
        <v>0.18</v>
      </c>
      <c r="D97" s="3" t="n">
        <v>0.17</v>
      </c>
      <c r="E97" s="3" t="n">
        <v>0.16</v>
      </c>
      <c r="F97" s="3" t="n">
        <v>0.15</v>
      </c>
      <c r="G97" s="3" t="n">
        <v>0.14</v>
      </c>
      <c r="H97" s="3" t="n">
        <v>0.13</v>
      </c>
      <c r="I97" s="3" t="n">
        <v>0.12</v>
      </c>
      <c r="J97" s="3" t="n">
        <v>0.11</v>
      </c>
      <c r="K97" s="19" t="n"/>
      <c r="L97" s="3" t="n"/>
      <c r="M97" s="3" t="n"/>
      <c r="O97" s="3" t="n"/>
      <c r="P97" s="4" t="n">
        <v>0.19</v>
      </c>
      <c r="Q97" s="3" t="n">
        <v>0.18</v>
      </c>
      <c r="R97" s="3" t="n">
        <v>0.17</v>
      </c>
      <c r="S97" s="3" t="n">
        <v>0.16</v>
      </c>
      <c r="T97" s="3" t="n">
        <v>0.15</v>
      </c>
      <c r="U97" s="3" t="n">
        <v>0.14</v>
      </c>
      <c r="V97" s="3" t="n">
        <v>0.13</v>
      </c>
      <c r="W97" s="3" t="n">
        <v>0.12</v>
      </c>
      <c r="X97" s="3" t="n">
        <v>0.11</v>
      </c>
      <c r="Y97" s="19" t="n"/>
      <c r="Z97" s="3" t="n"/>
      <c r="AA97" s="57" t="n"/>
    </row>
    <row r="98">
      <c r="A98" s="5" t="inlineStr">
        <is>
          <t>时间</t>
        </is>
      </c>
      <c r="B98" s="6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21" t="n"/>
      <c r="L98" s="5">
        <f>K98-K95</f>
        <v/>
      </c>
      <c r="M98" s="5">
        <f>L98/K101</f>
        <v/>
      </c>
      <c r="O98" s="5" t="inlineStr">
        <is>
          <t>时间</t>
        </is>
      </c>
      <c r="P98" s="6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21" t="n"/>
      <c r="Z98" s="5">
        <f>Y98-Y95</f>
        <v/>
      </c>
      <c r="AA98" s="47">
        <f>Z98/Y101</f>
        <v/>
      </c>
    </row>
    <row r="99">
      <c r="A99" s="11" t="inlineStr">
        <is>
          <t>容量</t>
        </is>
      </c>
      <c r="B99" s="54" t="n"/>
      <c r="C99" s="55" t="n"/>
      <c r="D99" s="55" t="n"/>
      <c r="E99" s="55" t="n"/>
      <c r="F99" s="55" t="n"/>
      <c r="G99" s="55" t="n"/>
      <c r="H99" s="55" t="n"/>
      <c r="I99" s="55" t="n"/>
      <c r="J99" s="42" t="n"/>
      <c r="K99" s="51" t="n"/>
      <c r="L99" s="46">
        <f>K99-K96</f>
        <v/>
      </c>
      <c r="M99" s="11">
        <f>L99/K102</f>
        <v/>
      </c>
      <c r="O99" s="11" t="inlineStr">
        <is>
          <t>容量</t>
        </is>
      </c>
      <c r="P99" s="54" t="n"/>
      <c r="Q99" s="55" t="n"/>
      <c r="R99" s="55" t="n"/>
      <c r="S99" s="55" t="n"/>
      <c r="T99" s="55" t="n"/>
      <c r="U99" s="55" t="n"/>
      <c r="V99" s="55" t="n"/>
      <c r="W99" s="55" t="n"/>
      <c r="X99" s="42" t="n"/>
      <c r="Y99" s="58" t="n"/>
      <c r="Z99" s="42">
        <f>Y99-Y96</f>
        <v/>
      </c>
      <c r="AA99" s="56">
        <f>Z99/Y102</f>
        <v/>
      </c>
    </row>
    <row r="100">
      <c r="A100" s="3" t="n"/>
      <c r="B100" s="4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19" t="n">
        <v>0</v>
      </c>
      <c r="L100" s="3" t="n"/>
      <c r="M100" s="3" t="n"/>
      <c r="O100" s="3" t="n"/>
      <c r="P100" s="4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19" t="n">
        <v>0</v>
      </c>
      <c r="Z100" s="3" t="n"/>
      <c r="AA100" s="57" t="n"/>
    </row>
    <row r="101">
      <c r="A101" s="5" t="inlineStr">
        <is>
          <t>时间</t>
        </is>
      </c>
      <c r="B101" s="6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5">
        <f>K101-K98</f>
        <v/>
      </c>
      <c r="M101" s="5">
        <f>L101/K101</f>
        <v/>
      </c>
      <c r="O101" s="5" t="inlineStr">
        <is>
          <t>时间</t>
        </is>
      </c>
      <c r="P101" s="6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5">
        <f>Y101-Y98</f>
        <v/>
      </c>
      <c r="AA101" s="47">
        <f>Z101/Y101</f>
        <v/>
      </c>
    </row>
    <row r="102">
      <c r="A102" s="11" t="inlineStr">
        <is>
          <t>容量</t>
        </is>
      </c>
      <c r="B102" s="49" t="n"/>
      <c r="C102" s="50" t="n"/>
      <c r="D102" s="50" t="n"/>
      <c r="E102" s="50" t="n"/>
      <c r="F102" s="50" t="n"/>
      <c r="G102" s="50" t="n"/>
      <c r="H102" s="50" t="n"/>
      <c r="I102" s="50" t="n"/>
      <c r="J102" s="46" t="n"/>
      <c r="K102" s="51" t="n"/>
      <c r="L102" s="46">
        <f>K102-K99</f>
        <v/>
      </c>
      <c r="M102" s="11">
        <f>L102/K102</f>
        <v/>
      </c>
      <c r="O102" s="11" t="inlineStr">
        <is>
          <t>容量</t>
        </is>
      </c>
      <c r="P102" s="54" t="n"/>
      <c r="Q102" s="55" t="n"/>
      <c r="R102" s="55" t="n"/>
      <c r="S102" s="55" t="n"/>
      <c r="T102" s="55" t="n"/>
      <c r="U102" s="55" t="n"/>
      <c r="V102" s="55" t="n"/>
      <c r="W102" s="55" t="n"/>
      <c r="X102" s="42" t="n"/>
      <c r="Y102" s="58" t="n"/>
      <c r="Z102" s="42">
        <f>Y102-Y99</f>
        <v/>
      </c>
      <c r="AA102" s="56">
        <f>Z102/Y102</f>
        <v/>
      </c>
    </row>
    <row r="103" ht="14.25" customHeight="1" s="35">
      <c r="A103" s="15" t="inlineStr">
        <is>
          <t>容量</t>
        </is>
      </c>
      <c r="B103" s="16" t="n"/>
      <c r="C103" s="43" t="n"/>
      <c r="D103" s="43" t="n"/>
      <c r="E103" s="44" t="n"/>
      <c r="F103" s="15" t="inlineStr">
        <is>
          <t>能量</t>
        </is>
      </c>
      <c r="G103" s="45" t="n"/>
      <c r="H103" s="43" t="n"/>
      <c r="I103" s="43" t="n"/>
      <c r="J103" s="44" t="n"/>
      <c r="K103" s="15" t="n"/>
      <c r="L103" s="18" t="n"/>
      <c r="M103" s="44" t="n"/>
      <c r="O103" s="15" t="inlineStr">
        <is>
          <t>容量</t>
        </is>
      </c>
      <c r="P103" s="16" t="n"/>
      <c r="Q103" s="43" t="n"/>
      <c r="R103" s="43" t="n"/>
      <c r="S103" s="44" t="n"/>
      <c r="T103" s="15" t="inlineStr">
        <is>
          <t>能量</t>
        </is>
      </c>
      <c r="U103" s="45" t="n"/>
      <c r="V103" s="43" t="n"/>
      <c r="W103" s="43" t="n"/>
      <c r="X103" s="44" t="n"/>
      <c r="Y103" s="15" t="n"/>
      <c r="Z103" s="18" t="n"/>
      <c r="AA103" s="44" t="n"/>
    </row>
    <row r="104" ht="219" customHeight="1" s="35">
      <c r="A104" s="18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4" t="n"/>
      <c r="O104" s="18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  <c r="AA104" s="44" t="n"/>
    </row>
    <row r="105"/>
    <row r="106" ht="25.5" customHeight="1" s="35">
      <c r="A106" s="1" t="inlineStr">
        <is>
          <t>数显测试</t>
        </is>
      </c>
      <c r="O106" s="1" t="inlineStr">
        <is>
          <t>数显测试</t>
        </is>
      </c>
    </row>
    <row r="107" ht="25.5" customHeight="1" s="35">
      <c r="A107" s="2" t="inlineStr">
        <is>
          <t xml:space="preserve">PB519  C口  15V放电  1# </t>
        </is>
      </c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1" t="n"/>
      <c r="O107" s="2" t="inlineStr">
        <is>
          <t xml:space="preserve">PB519  C线  15V放电  2# </t>
        </is>
      </c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1" t="n"/>
    </row>
    <row r="108" ht="38" customHeight="1" s="35">
      <c r="A108" s="3" t="n"/>
      <c r="B108" s="4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19" t="n"/>
      <c r="L108" s="3" t="inlineStr">
        <is>
          <t>每10%</t>
        </is>
      </c>
      <c r="M108" s="20" t="inlineStr">
        <is>
          <t>占总时长比
占总容量比</t>
        </is>
      </c>
      <c r="O108" s="3" t="n"/>
      <c r="P108" s="4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19" t="n"/>
      <c r="Z108" s="3" t="inlineStr">
        <is>
          <t>每10%</t>
        </is>
      </c>
      <c r="AA108" s="20" t="inlineStr">
        <is>
          <t>占总时长比
占总容量比</t>
        </is>
      </c>
    </row>
    <row r="109">
      <c r="A109" s="5" t="inlineStr">
        <is>
          <t>时间</t>
        </is>
      </c>
      <c r="B109" s="21" t="n"/>
      <c r="C109" s="6" t="n"/>
      <c r="D109" s="6" t="n"/>
      <c r="E109" s="6" t="n"/>
      <c r="F109" s="6" t="n"/>
      <c r="G109" s="6" t="n"/>
      <c r="H109" s="6" t="n"/>
      <c r="I109" s="6" t="n"/>
      <c r="J109" s="10" t="n"/>
      <c r="K109" s="21" t="n"/>
      <c r="L109" s="5">
        <f>K109-B109</f>
        <v/>
      </c>
      <c r="M109" s="29">
        <f>L109/K136</f>
        <v/>
      </c>
      <c r="O109" s="5" t="inlineStr">
        <is>
          <t>时间</t>
        </is>
      </c>
      <c r="P109" s="6" t="n"/>
      <c r="Q109" s="6" t="n"/>
      <c r="R109" s="6" t="n"/>
      <c r="S109" s="6" t="n"/>
      <c r="T109" s="6" t="n"/>
      <c r="U109" s="6" t="n"/>
      <c r="V109" s="6" t="n"/>
      <c r="W109" s="6" t="n"/>
      <c r="X109" s="10" t="n"/>
      <c r="Y109" s="21" t="n"/>
      <c r="Z109" s="5">
        <f>Y109-P109</f>
        <v/>
      </c>
      <c r="AA109" s="29">
        <f>Z109/Y136</f>
        <v/>
      </c>
    </row>
    <row r="110">
      <c r="A110" s="11" t="inlineStr">
        <is>
          <t>容量</t>
        </is>
      </c>
      <c r="B110" s="58" t="n"/>
      <c r="C110" s="55" t="n"/>
      <c r="D110" s="55" t="n"/>
      <c r="E110" s="55" t="n"/>
      <c r="F110" s="55" t="n"/>
      <c r="G110" s="55" t="n"/>
      <c r="H110" s="55" t="n"/>
      <c r="I110" s="55" t="n"/>
      <c r="J110" s="42" t="n"/>
      <c r="K110" s="58" t="n"/>
      <c r="L110" s="42">
        <f>K110-B110</f>
        <v/>
      </c>
      <c r="M110" s="30">
        <f>L110/K137</f>
        <v/>
      </c>
      <c r="O110" s="11" t="inlineStr">
        <is>
          <t>容量</t>
        </is>
      </c>
      <c r="P110" s="54" t="n"/>
      <c r="Q110" s="55" t="n"/>
      <c r="R110" s="55" t="n"/>
      <c r="S110" s="55" t="n"/>
      <c r="T110" s="55" t="n"/>
      <c r="U110" s="55" t="n"/>
      <c r="V110" s="55" t="n"/>
      <c r="W110" s="55" t="n"/>
      <c r="X110" s="42" t="n"/>
      <c r="Y110" s="58" t="n"/>
      <c r="Z110" s="42">
        <f>Y110-P110</f>
        <v/>
      </c>
      <c r="AA110" s="30">
        <f>Z110/Y137</f>
        <v/>
      </c>
    </row>
    <row r="111">
      <c r="A111" s="3" t="n"/>
      <c r="B111" s="4" t="n">
        <v>0.89</v>
      </c>
      <c r="C111" s="3" t="n">
        <v>0.88</v>
      </c>
      <c r="D111" s="3" t="n">
        <v>0.87</v>
      </c>
      <c r="E111" s="3" t="n">
        <v>0.86</v>
      </c>
      <c r="F111" s="3" t="n">
        <v>0.85</v>
      </c>
      <c r="G111" s="3" t="n">
        <v>0.84</v>
      </c>
      <c r="H111" s="3" t="n">
        <v>0.83</v>
      </c>
      <c r="I111" s="3" t="n">
        <v>0.82</v>
      </c>
      <c r="J111" s="3" t="n">
        <v>0.8100000000000001</v>
      </c>
      <c r="K111" s="19" t="n"/>
      <c r="L111" s="3" t="n"/>
      <c r="M111" s="31" t="n"/>
      <c r="O111" s="3" t="n"/>
      <c r="P111" s="4" t="n">
        <v>0.89</v>
      </c>
      <c r="Q111" s="3" t="n">
        <v>0.88</v>
      </c>
      <c r="R111" s="3" t="n">
        <v>0.87</v>
      </c>
      <c r="S111" s="3" t="n">
        <v>0.86</v>
      </c>
      <c r="T111" s="3" t="n">
        <v>0.85</v>
      </c>
      <c r="U111" s="3" t="n">
        <v>0.84</v>
      </c>
      <c r="V111" s="3" t="n">
        <v>0.83</v>
      </c>
      <c r="W111" s="3" t="n">
        <v>0.82</v>
      </c>
      <c r="X111" s="3" t="n">
        <v>0.8100000000000001</v>
      </c>
      <c r="Y111" s="19" t="n"/>
      <c r="Z111" s="3" t="n"/>
      <c r="AA111" s="31" t="n"/>
    </row>
    <row r="112">
      <c r="A112" s="5" t="inlineStr">
        <is>
          <t>时间</t>
        </is>
      </c>
      <c r="B112" s="6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21" t="n"/>
      <c r="L112" s="5">
        <f>K112-K109</f>
        <v/>
      </c>
      <c r="M112" s="29">
        <f>L112/K136</f>
        <v/>
      </c>
      <c r="O112" s="5" t="inlineStr">
        <is>
          <t>时间</t>
        </is>
      </c>
      <c r="P112" s="6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21" t="n"/>
      <c r="Z112" s="5">
        <f>Y112-Y109</f>
        <v/>
      </c>
      <c r="AA112" s="29">
        <f>Z112/Y136</f>
        <v/>
      </c>
    </row>
    <row r="113">
      <c r="A113" s="11" t="inlineStr">
        <is>
          <t>容量</t>
        </is>
      </c>
      <c r="B113" s="54" t="n"/>
      <c r="C113" s="55" t="n"/>
      <c r="D113" s="55" t="n"/>
      <c r="E113" s="55" t="n"/>
      <c r="F113" s="55" t="n"/>
      <c r="G113" s="55" t="n"/>
      <c r="H113" s="55" t="n"/>
      <c r="I113" s="55" t="n"/>
      <c r="J113" s="42" t="n"/>
      <c r="K113" s="58" t="n"/>
      <c r="L113" s="42">
        <f>K113-K110</f>
        <v/>
      </c>
      <c r="M113" s="30">
        <f>L113/K137</f>
        <v/>
      </c>
      <c r="O113" s="11" t="inlineStr">
        <is>
          <t>容量</t>
        </is>
      </c>
      <c r="P113" s="54" t="n"/>
      <c r="Q113" s="55" t="n"/>
      <c r="R113" s="55" t="n"/>
      <c r="S113" s="55" t="n"/>
      <c r="T113" s="55" t="n"/>
      <c r="U113" s="55" t="n"/>
      <c r="V113" s="55" t="n"/>
      <c r="W113" s="55" t="n"/>
      <c r="X113" s="42" t="n"/>
      <c r="Y113" s="58" t="n"/>
      <c r="Z113" s="42">
        <f>Y113-Y110</f>
        <v/>
      </c>
      <c r="AA113" s="30">
        <f>Z113/Y137</f>
        <v/>
      </c>
    </row>
    <row r="114">
      <c r="A114" s="3" t="n"/>
      <c r="B114" s="4" t="n">
        <v>0.79</v>
      </c>
      <c r="C114" s="3" t="n">
        <v>0.78</v>
      </c>
      <c r="D114" s="3" t="n">
        <v>0.77</v>
      </c>
      <c r="E114" s="3" t="n">
        <v>0.76</v>
      </c>
      <c r="F114" s="3" t="n">
        <v>0.75</v>
      </c>
      <c r="G114" s="3" t="n">
        <v>0.74</v>
      </c>
      <c r="H114" s="3" t="n">
        <v>0.73</v>
      </c>
      <c r="I114" s="3" t="n">
        <v>0.72</v>
      </c>
      <c r="J114" s="3" t="n">
        <v>0.71</v>
      </c>
      <c r="K114" s="19" t="n"/>
      <c r="L114" s="3" t="n"/>
      <c r="M114" s="31" t="n"/>
      <c r="O114" s="3" t="n"/>
      <c r="P114" s="4" t="n">
        <v>0.79</v>
      </c>
      <c r="Q114" s="3" t="n">
        <v>0.78</v>
      </c>
      <c r="R114" s="3" t="n">
        <v>0.77</v>
      </c>
      <c r="S114" s="3" t="n">
        <v>0.76</v>
      </c>
      <c r="T114" s="3" t="n">
        <v>0.75</v>
      </c>
      <c r="U114" s="3" t="n">
        <v>0.74</v>
      </c>
      <c r="V114" s="3" t="n">
        <v>0.73</v>
      </c>
      <c r="W114" s="3" t="n">
        <v>0.72</v>
      </c>
      <c r="X114" s="3" t="n">
        <v>0.71</v>
      </c>
      <c r="Y114" s="19" t="n"/>
      <c r="Z114" s="3" t="n"/>
      <c r="AA114" s="31" t="n"/>
    </row>
    <row r="115">
      <c r="A115" s="5" t="inlineStr">
        <is>
          <t>时间</t>
        </is>
      </c>
      <c r="B115" s="6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21" t="n"/>
      <c r="L115" s="5">
        <f>K115-K112</f>
        <v/>
      </c>
      <c r="M115" s="29">
        <f>L115/K136</f>
        <v/>
      </c>
      <c r="O115" s="5" t="inlineStr">
        <is>
          <t>时间</t>
        </is>
      </c>
      <c r="P115" s="6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21" t="n"/>
      <c r="Z115" s="5">
        <f>Y115-Y112</f>
        <v/>
      </c>
      <c r="AA115" s="29">
        <f>Z115/Y136</f>
        <v/>
      </c>
    </row>
    <row r="116">
      <c r="A116" s="11" t="inlineStr">
        <is>
          <t>容量</t>
        </is>
      </c>
      <c r="B116" s="54" t="n"/>
      <c r="C116" s="55" t="n"/>
      <c r="D116" s="55" t="n"/>
      <c r="E116" s="55" t="n"/>
      <c r="F116" s="55" t="n"/>
      <c r="G116" s="55" t="n"/>
      <c r="H116" s="55" t="n"/>
      <c r="I116" s="55" t="n"/>
      <c r="J116" s="42" t="n"/>
      <c r="K116" s="58" t="n"/>
      <c r="L116" s="42">
        <f>K116-K113</f>
        <v/>
      </c>
      <c r="M116" s="30">
        <f>L116/K137</f>
        <v/>
      </c>
      <c r="O116" s="11" t="inlineStr">
        <is>
          <t>容量</t>
        </is>
      </c>
      <c r="P116" s="54" t="n"/>
      <c r="Q116" s="55" t="n"/>
      <c r="R116" s="55" t="n"/>
      <c r="S116" s="55" t="n"/>
      <c r="T116" s="55" t="n"/>
      <c r="U116" s="55" t="n"/>
      <c r="V116" s="55" t="n"/>
      <c r="W116" s="55" t="n"/>
      <c r="X116" s="42" t="n"/>
      <c r="Y116" s="58" t="n"/>
      <c r="Z116" s="42">
        <f>Y116-Y113</f>
        <v/>
      </c>
      <c r="AA116" s="30">
        <f>Z116/Y137</f>
        <v/>
      </c>
    </row>
    <row r="117">
      <c r="A117" s="3" t="n"/>
      <c r="B117" s="4" t="n">
        <v>0.6899999999999999</v>
      </c>
      <c r="C117" s="3" t="n">
        <v>0.68</v>
      </c>
      <c r="D117" s="3" t="n">
        <v>0.67</v>
      </c>
      <c r="E117" s="3" t="n">
        <v>0.66</v>
      </c>
      <c r="F117" s="3" t="n">
        <v>0.65</v>
      </c>
      <c r="G117" s="3" t="n">
        <v>0.64</v>
      </c>
      <c r="H117" s="3" t="n">
        <v>0.63</v>
      </c>
      <c r="I117" s="3" t="n">
        <v>0.62</v>
      </c>
      <c r="J117" s="3" t="n">
        <v>0.61</v>
      </c>
      <c r="K117" s="19" t="n"/>
      <c r="L117" s="3" t="n"/>
      <c r="M117" s="31" t="n"/>
      <c r="O117" s="3" t="n"/>
      <c r="P117" s="4" t="n">
        <v>0.6899999999999999</v>
      </c>
      <c r="Q117" s="3" t="n">
        <v>0.68</v>
      </c>
      <c r="R117" s="3" t="n">
        <v>0.67</v>
      </c>
      <c r="S117" s="3" t="n">
        <v>0.66</v>
      </c>
      <c r="T117" s="3" t="n">
        <v>0.65</v>
      </c>
      <c r="U117" s="3" t="n">
        <v>0.64</v>
      </c>
      <c r="V117" s="3" t="n">
        <v>0.63</v>
      </c>
      <c r="W117" s="3" t="n">
        <v>0.62</v>
      </c>
      <c r="X117" s="3" t="n">
        <v>0.61</v>
      </c>
      <c r="Y117" s="19" t="n"/>
      <c r="Z117" s="3" t="n"/>
      <c r="AA117" s="31" t="n"/>
    </row>
    <row r="118">
      <c r="A118" s="5" t="inlineStr">
        <is>
          <t>时间</t>
        </is>
      </c>
      <c r="B118" s="6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21" t="n"/>
      <c r="L118" s="5">
        <f>K118-K115</f>
        <v/>
      </c>
      <c r="M118" s="29">
        <f>L118/K136</f>
        <v/>
      </c>
      <c r="O118" s="5" t="inlineStr">
        <is>
          <t>时间</t>
        </is>
      </c>
      <c r="P118" s="6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21" t="n"/>
      <c r="Z118" s="5">
        <f>Y118-Y115</f>
        <v/>
      </c>
      <c r="AA118" s="29">
        <f>Z118/Y136</f>
        <v/>
      </c>
    </row>
    <row r="119">
      <c r="A119" s="11" t="inlineStr">
        <is>
          <t>容量</t>
        </is>
      </c>
      <c r="B119" s="54" t="n"/>
      <c r="C119" s="55" t="n"/>
      <c r="D119" s="55" t="n"/>
      <c r="E119" s="55" t="n"/>
      <c r="F119" s="55" t="n"/>
      <c r="G119" s="55" t="n"/>
      <c r="H119" s="55" t="n"/>
      <c r="I119" s="55" t="n"/>
      <c r="J119" s="42" t="n"/>
      <c r="K119" s="58" t="n"/>
      <c r="L119" s="42">
        <f>K119-K116</f>
        <v/>
      </c>
      <c r="M119" s="30">
        <f>L119/K137</f>
        <v/>
      </c>
      <c r="O119" s="11" t="inlineStr">
        <is>
          <t>容量</t>
        </is>
      </c>
      <c r="P119" s="54" t="n"/>
      <c r="Q119" s="55" t="n"/>
      <c r="R119" s="55" t="n"/>
      <c r="S119" s="55" t="n"/>
      <c r="T119" s="55" t="n"/>
      <c r="U119" s="55" t="n"/>
      <c r="V119" s="55" t="n"/>
      <c r="W119" s="55" t="n"/>
      <c r="X119" s="42" t="n"/>
      <c r="Y119" s="58" t="n"/>
      <c r="Z119" s="42">
        <f>Y119-Y116</f>
        <v/>
      </c>
      <c r="AA119" s="30">
        <f>Z119/Y137</f>
        <v/>
      </c>
    </row>
    <row r="120">
      <c r="A120" s="3" t="n"/>
      <c r="B120" s="4" t="n">
        <v>0.59</v>
      </c>
      <c r="C120" s="3" t="n">
        <v>0.58</v>
      </c>
      <c r="D120" s="3" t="n">
        <v>0.57</v>
      </c>
      <c r="E120" s="3" t="n">
        <v>0.5600000000000001</v>
      </c>
      <c r="F120" s="3" t="n">
        <v>0.55</v>
      </c>
      <c r="G120" s="3" t="n">
        <v>0.54</v>
      </c>
      <c r="H120" s="3" t="n">
        <v>0.53</v>
      </c>
      <c r="I120" s="3" t="n">
        <v>0.52</v>
      </c>
      <c r="J120" s="3" t="n">
        <v>0.51</v>
      </c>
      <c r="K120" s="19" t="n"/>
      <c r="L120" s="3" t="n"/>
      <c r="M120" s="31" t="n"/>
      <c r="O120" s="3" t="n"/>
      <c r="P120" s="4" t="n">
        <v>0.59</v>
      </c>
      <c r="Q120" s="3" t="n">
        <v>0.58</v>
      </c>
      <c r="R120" s="3" t="n">
        <v>0.57</v>
      </c>
      <c r="S120" s="3" t="n">
        <v>0.5600000000000001</v>
      </c>
      <c r="T120" s="3" t="n">
        <v>0.55</v>
      </c>
      <c r="U120" s="3" t="n">
        <v>0.54</v>
      </c>
      <c r="V120" s="3" t="n">
        <v>0.53</v>
      </c>
      <c r="W120" s="3" t="n">
        <v>0.52</v>
      </c>
      <c r="X120" s="3" t="n">
        <v>0.51</v>
      </c>
      <c r="Y120" s="19" t="n"/>
      <c r="Z120" s="3" t="n"/>
      <c r="AA120" s="31" t="n"/>
    </row>
    <row r="121">
      <c r="A121" s="5" t="inlineStr">
        <is>
          <t>时间</t>
        </is>
      </c>
      <c r="B121" s="6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21" t="n"/>
      <c r="L121" s="5">
        <f>K121-K118</f>
        <v/>
      </c>
      <c r="M121" s="29">
        <f>L121/K136</f>
        <v/>
      </c>
      <c r="O121" s="5" t="inlineStr">
        <is>
          <t>时间</t>
        </is>
      </c>
      <c r="P121" s="6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21" t="n"/>
      <c r="Z121" s="5">
        <f>Y121-Y118</f>
        <v/>
      </c>
      <c r="AA121" s="29">
        <f>Z121/Y136</f>
        <v/>
      </c>
    </row>
    <row r="122">
      <c r="A122" s="11" t="inlineStr">
        <is>
          <t>容量</t>
        </is>
      </c>
      <c r="B122" s="54" t="n"/>
      <c r="C122" s="55" t="n"/>
      <c r="D122" s="55" t="n"/>
      <c r="E122" s="55" t="n"/>
      <c r="F122" s="55" t="n"/>
      <c r="G122" s="55" t="n"/>
      <c r="H122" s="55" t="n"/>
      <c r="I122" s="55" t="n"/>
      <c r="J122" s="42" t="n"/>
      <c r="K122" s="58" t="n"/>
      <c r="L122" s="42">
        <f>K122-K119</f>
        <v/>
      </c>
      <c r="M122" s="30">
        <f>L122/K137</f>
        <v/>
      </c>
      <c r="O122" s="11" t="inlineStr">
        <is>
          <t>容量</t>
        </is>
      </c>
      <c r="P122" s="54" t="n"/>
      <c r="Q122" s="55" t="n"/>
      <c r="R122" s="55" t="n"/>
      <c r="S122" s="55" t="n"/>
      <c r="T122" s="55" t="n"/>
      <c r="U122" s="55" t="n"/>
      <c r="V122" s="55" t="n"/>
      <c r="W122" s="55" t="n"/>
      <c r="X122" s="42" t="n"/>
      <c r="Y122" s="58" t="n"/>
      <c r="Z122" s="42">
        <f>Y122-Y119</f>
        <v/>
      </c>
      <c r="AA122" s="30">
        <f>Z122/Y137</f>
        <v/>
      </c>
    </row>
    <row r="123">
      <c r="A123" s="3" t="n"/>
      <c r="B123" s="4" t="n">
        <v>0.49</v>
      </c>
      <c r="C123" s="3" t="n">
        <v>0.48</v>
      </c>
      <c r="D123" s="3" t="n">
        <v>0.47</v>
      </c>
      <c r="E123" s="3" t="n">
        <v>0.46</v>
      </c>
      <c r="F123" s="3" t="n">
        <v>0.45</v>
      </c>
      <c r="G123" s="3" t="n">
        <v>0.44</v>
      </c>
      <c r="H123" s="3" t="n">
        <v>0.43</v>
      </c>
      <c r="I123" s="3" t="n">
        <v>0.42</v>
      </c>
      <c r="J123" s="3" t="n">
        <v>0.41</v>
      </c>
      <c r="K123" s="19" t="n"/>
      <c r="L123" s="3" t="n"/>
      <c r="M123" s="31" t="n"/>
      <c r="O123" s="3" t="n"/>
      <c r="P123" s="4" t="n">
        <v>0.49</v>
      </c>
      <c r="Q123" s="3" t="n">
        <v>0.48</v>
      </c>
      <c r="R123" s="3" t="n">
        <v>0.47</v>
      </c>
      <c r="S123" s="3" t="n">
        <v>0.46</v>
      </c>
      <c r="T123" s="3" t="n">
        <v>0.45</v>
      </c>
      <c r="U123" s="3" t="n">
        <v>0.44</v>
      </c>
      <c r="V123" s="3" t="n">
        <v>0.43</v>
      </c>
      <c r="W123" s="3" t="n">
        <v>0.42</v>
      </c>
      <c r="X123" s="3" t="n">
        <v>0.41</v>
      </c>
      <c r="Y123" s="19" t="n"/>
      <c r="Z123" s="3" t="n"/>
      <c r="AA123" s="31" t="n"/>
    </row>
    <row r="124">
      <c r="A124" s="5" t="inlineStr">
        <is>
          <t>时间</t>
        </is>
      </c>
      <c r="B124" s="6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21" t="n"/>
      <c r="L124" s="5">
        <f>K124-K121</f>
        <v/>
      </c>
      <c r="M124" s="29">
        <f>L124/K136</f>
        <v/>
      </c>
      <c r="O124" s="5" t="inlineStr">
        <is>
          <t>时间</t>
        </is>
      </c>
      <c r="P124" s="6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21" t="n"/>
      <c r="Z124" s="5">
        <f>Y124-Y121</f>
        <v/>
      </c>
      <c r="AA124" s="29">
        <f>Z124/Y136</f>
        <v/>
      </c>
    </row>
    <row r="125">
      <c r="A125" s="11" t="inlineStr">
        <is>
          <t>容量</t>
        </is>
      </c>
      <c r="B125" s="54" t="n"/>
      <c r="C125" s="55" t="n"/>
      <c r="D125" s="55" t="n"/>
      <c r="E125" s="55" t="n"/>
      <c r="F125" s="55" t="n"/>
      <c r="G125" s="55" t="n"/>
      <c r="H125" s="55" t="n"/>
      <c r="I125" s="55" t="n"/>
      <c r="J125" s="42" t="n"/>
      <c r="K125" s="58" t="n"/>
      <c r="L125" s="42">
        <f>K125-K122</f>
        <v/>
      </c>
      <c r="M125" s="30">
        <f>L125/K137</f>
        <v/>
      </c>
      <c r="O125" s="11" t="inlineStr">
        <is>
          <t>容量</t>
        </is>
      </c>
      <c r="P125" s="54" t="n"/>
      <c r="Q125" s="55" t="n"/>
      <c r="R125" s="55" t="n"/>
      <c r="S125" s="55" t="n"/>
      <c r="T125" s="55" t="n"/>
      <c r="U125" s="55" t="n"/>
      <c r="V125" s="55" t="n"/>
      <c r="W125" s="55" t="n"/>
      <c r="X125" s="42" t="n"/>
      <c r="Y125" s="58" t="n"/>
      <c r="Z125" s="42">
        <f>Y125-Y122</f>
        <v/>
      </c>
      <c r="AA125" s="30">
        <f>Z125/Y137</f>
        <v/>
      </c>
    </row>
    <row r="126">
      <c r="A126" s="3" t="n"/>
      <c r="B126" s="4" t="n">
        <v>0.39</v>
      </c>
      <c r="C126" s="3" t="n">
        <v>0.38</v>
      </c>
      <c r="D126" s="14" t="n">
        <v>0.37</v>
      </c>
      <c r="E126" s="3" t="n">
        <v>0.36</v>
      </c>
      <c r="F126" s="3" t="n">
        <v>0.35</v>
      </c>
      <c r="G126" s="3" t="n">
        <v>0.34</v>
      </c>
      <c r="H126" s="3" t="n">
        <v>0.33</v>
      </c>
      <c r="I126" s="3" t="n">
        <v>0.32</v>
      </c>
      <c r="J126" s="3" t="n">
        <v>0.31</v>
      </c>
      <c r="K126" s="19" t="n"/>
      <c r="L126" s="3" t="n"/>
      <c r="M126" s="31" t="n"/>
      <c r="O126" s="3" t="n"/>
      <c r="P126" s="4" t="n">
        <v>0.39</v>
      </c>
      <c r="Q126" s="3" t="n">
        <v>0.38</v>
      </c>
      <c r="R126" s="14" t="n">
        <v>0.37</v>
      </c>
      <c r="S126" s="3" t="n">
        <v>0.36</v>
      </c>
      <c r="T126" s="3" t="n">
        <v>0.35</v>
      </c>
      <c r="U126" s="3" t="n">
        <v>0.34</v>
      </c>
      <c r="V126" s="3" t="n">
        <v>0.33</v>
      </c>
      <c r="W126" s="3" t="n">
        <v>0.32</v>
      </c>
      <c r="X126" s="3" t="n">
        <v>0.31</v>
      </c>
      <c r="Y126" s="19" t="n"/>
      <c r="Z126" s="3" t="n"/>
      <c r="AA126" s="31" t="n"/>
    </row>
    <row r="127">
      <c r="A127" s="5" t="inlineStr">
        <is>
          <t>时间</t>
        </is>
      </c>
      <c r="B127" s="6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21" t="n"/>
      <c r="L127" s="5">
        <f>K127-K124</f>
        <v/>
      </c>
      <c r="M127" s="29">
        <f>L127/K136</f>
        <v/>
      </c>
      <c r="O127" s="5" t="inlineStr">
        <is>
          <t>时间</t>
        </is>
      </c>
      <c r="P127" s="6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21" t="n"/>
      <c r="Z127" s="5">
        <f>Y127-Y124</f>
        <v/>
      </c>
      <c r="AA127" s="29">
        <f>Z127/Y136</f>
        <v/>
      </c>
    </row>
    <row r="128">
      <c r="A128" s="11" t="inlineStr">
        <is>
          <t>容量</t>
        </is>
      </c>
      <c r="B128" s="54" t="n"/>
      <c r="C128" s="55" t="n"/>
      <c r="D128" s="55" t="n"/>
      <c r="E128" s="55" t="n"/>
      <c r="F128" s="55" t="n"/>
      <c r="G128" s="55" t="n"/>
      <c r="H128" s="55" t="n"/>
      <c r="I128" s="55" t="n"/>
      <c r="J128" s="42" t="n"/>
      <c r="K128" s="58" t="n"/>
      <c r="L128" s="42">
        <f>K128-K125</f>
        <v/>
      </c>
      <c r="M128" s="30">
        <f>L128/K137</f>
        <v/>
      </c>
      <c r="O128" s="11" t="inlineStr">
        <is>
          <t>容量</t>
        </is>
      </c>
      <c r="P128" s="54" t="n"/>
      <c r="Q128" s="55" t="n"/>
      <c r="R128" s="55" t="n"/>
      <c r="S128" s="55" t="n"/>
      <c r="T128" s="55" t="n"/>
      <c r="U128" s="55" t="n"/>
      <c r="V128" s="55" t="n"/>
      <c r="W128" s="55" t="n"/>
      <c r="X128" s="42" t="n"/>
      <c r="Y128" s="58" t="n"/>
      <c r="Z128" s="42">
        <f>Y128-Y125</f>
        <v/>
      </c>
      <c r="AA128" s="30">
        <f>Z128/Y137</f>
        <v/>
      </c>
    </row>
    <row r="129">
      <c r="A129" s="3" t="n"/>
      <c r="B129" s="4" t="n">
        <v>0.29</v>
      </c>
      <c r="C129" s="3" t="n">
        <v>0.28</v>
      </c>
      <c r="D129" s="3" t="n">
        <v>0.27</v>
      </c>
      <c r="E129" s="3" t="n">
        <v>0.26</v>
      </c>
      <c r="F129" s="3" t="n">
        <v>0.25</v>
      </c>
      <c r="G129" s="3" t="n">
        <v>0.24</v>
      </c>
      <c r="H129" s="3" t="n">
        <v>0.23</v>
      </c>
      <c r="I129" s="3" t="n">
        <v>0.22</v>
      </c>
      <c r="J129" s="3" t="n">
        <v>0.21</v>
      </c>
      <c r="K129" s="19" t="n"/>
      <c r="L129" s="3" t="n"/>
      <c r="M129" s="31" t="n"/>
      <c r="O129" s="3" t="n"/>
      <c r="P129" s="4" t="n">
        <v>0.29</v>
      </c>
      <c r="Q129" s="3" t="n">
        <v>0.28</v>
      </c>
      <c r="R129" s="3" t="n">
        <v>0.27</v>
      </c>
      <c r="S129" s="3" t="n">
        <v>0.26</v>
      </c>
      <c r="T129" s="3" t="n">
        <v>0.25</v>
      </c>
      <c r="U129" s="3" t="n">
        <v>0.24</v>
      </c>
      <c r="V129" s="3" t="n">
        <v>0.23</v>
      </c>
      <c r="W129" s="3" t="n">
        <v>0.22</v>
      </c>
      <c r="X129" s="3" t="n">
        <v>0.21</v>
      </c>
      <c r="Y129" s="19" t="n"/>
      <c r="Z129" s="3" t="n"/>
      <c r="AA129" s="31" t="n"/>
    </row>
    <row r="130">
      <c r="A130" s="5" t="inlineStr">
        <is>
          <t>时间</t>
        </is>
      </c>
      <c r="B130" s="6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21" t="n"/>
      <c r="L130" s="5">
        <f>K130-K127</f>
        <v/>
      </c>
      <c r="M130" s="29">
        <f>L130/K136</f>
        <v/>
      </c>
      <c r="O130" s="5" t="inlineStr">
        <is>
          <t>时间</t>
        </is>
      </c>
      <c r="P130" s="6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21" t="n"/>
      <c r="Z130" s="5">
        <f>Y130-Y127</f>
        <v/>
      </c>
      <c r="AA130" s="29">
        <f>Z130/Y136</f>
        <v/>
      </c>
    </row>
    <row r="131">
      <c r="A131" s="11" t="inlineStr">
        <is>
          <t>容量</t>
        </is>
      </c>
      <c r="B131" s="54" t="n"/>
      <c r="C131" s="55" t="n"/>
      <c r="D131" s="55" t="n"/>
      <c r="E131" s="55" t="n"/>
      <c r="F131" s="55" t="n"/>
      <c r="G131" s="55" t="n"/>
      <c r="H131" s="55" t="n"/>
      <c r="I131" s="55" t="n"/>
      <c r="J131" s="42" t="n"/>
      <c r="K131" s="58" t="n"/>
      <c r="L131" s="42">
        <f>K131-K128</f>
        <v/>
      </c>
      <c r="M131" s="30">
        <f>L131/K137</f>
        <v/>
      </c>
      <c r="O131" s="11" t="inlineStr">
        <is>
          <t>容量</t>
        </is>
      </c>
      <c r="P131" s="54" t="n"/>
      <c r="Q131" s="55" t="n"/>
      <c r="R131" s="55" t="n"/>
      <c r="S131" s="55" t="n"/>
      <c r="T131" s="55" t="n"/>
      <c r="U131" s="55" t="n"/>
      <c r="V131" s="55" t="n"/>
      <c r="W131" s="55" t="n"/>
      <c r="X131" s="42" t="n"/>
      <c r="Y131" s="58" t="n"/>
      <c r="Z131" s="42">
        <f>Y131-Y128</f>
        <v/>
      </c>
      <c r="AA131" s="30">
        <f>Z131/Y137</f>
        <v/>
      </c>
    </row>
    <row r="132">
      <c r="A132" s="3" t="n"/>
      <c r="B132" s="4" t="n">
        <v>0.19</v>
      </c>
      <c r="C132" s="3" t="n">
        <v>0.18</v>
      </c>
      <c r="D132" s="3" t="n">
        <v>0.17</v>
      </c>
      <c r="E132" s="3" t="n">
        <v>0.16</v>
      </c>
      <c r="F132" s="3" t="n">
        <v>0.15</v>
      </c>
      <c r="G132" s="3" t="n">
        <v>0.14</v>
      </c>
      <c r="H132" s="3" t="n">
        <v>0.13</v>
      </c>
      <c r="I132" s="3" t="n">
        <v>0.12</v>
      </c>
      <c r="J132" s="3" t="n">
        <v>0.11</v>
      </c>
      <c r="K132" s="19" t="n"/>
      <c r="L132" s="3" t="n"/>
      <c r="M132" s="31" t="n"/>
      <c r="O132" s="3" t="n"/>
      <c r="P132" s="4" t="n">
        <v>0.19</v>
      </c>
      <c r="Q132" s="3" t="n">
        <v>0.18</v>
      </c>
      <c r="R132" s="3" t="n">
        <v>0.17</v>
      </c>
      <c r="S132" s="3" t="n">
        <v>0.16</v>
      </c>
      <c r="T132" s="3" t="n">
        <v>0.15</v>
      </c>
      <c r="U132" s="3" t="n">
        <v>0.14</v>
      </c>
      <c r="V132" s="3" t="n">
        <v>0.13</v>
      </c>
      <c r="W132" s="3" t="n">
        <v>0.12</v>
      </c>
      <c r="X132" s="3" t="n">
        <v>0.11</v>
      </c>
      <c r="Y132" s="19" t="n"/>
      <c r="Z132" s="3" t="n"/>
      <c r="AA132" s="31" t="n"/>
    </row>
    <row r="133">
      <c r="A133" s="5" t="inlineStr">
        <is>
          <t>时间</t>
        </is>
      </c>
      <c r="B133" s="6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21" t="n"/>
      <c r="L133" s="5">
        <f>K133-K130</f>
        <v/>
      </c>
      <c r="M133" s="29">
        <f>L133/K136</f>
        <v/>
      </c>
      <c r="O133" s="5" t="inlineStr">
        <is>
          <t>时间</t>
        </is>
      </c>
      <c r="P133" s="6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21" t="n"/>
      <c r="Z133" s="5">
        <f>Y133-Y130</f>
        <v/>
      </c>
      <c r="AA133" s="29">
        <f>Z133/Y136</f>
        <v/>
      </c>
    </row>
    <row r="134">
      <c r="A134" s="11" t="inlineStr">
        <is>
          <t>容量</t>
        </is>
      </c>
      <c r="B134" s="54" t="n"/>
      <c r="C134" s="55" t="n"/>
      <c r="D134" s="55" t="n"/>
      <c r="E134" s="55" t="n"/>
      <c r="F134" s="55" t="n"/>
      <c r="G134" s="55" t="n"/>
      <c r="H134" s="55" t="n"/>
      <c r="I134" s="55" t="n"/>
      <c r="J134" s="42" t="n"/>
      <c r="K134" s="58" t="n"/>
      <c r="L134" s="42">
        <f>K134-K131</f>
        <v/>
      </c>
      <c r="M134" s="30">
        <f>L134/K137</f>
        <v/>
      </c>
      <c r="O134" s="11" t="inlineStr">
        <is>
          <t>容量</t>
        </is>
      </c>
      <c r="P134" s="54" t="n"/>
      <c r="Q134" s="55" t="n"/>
      <c r="R134" s="55" t="n"/>
      <c r="S134" s="55" t="n"/>
      <c r="T134" s="55" t="n"/>
      <c r="U134" s="55" t="n"/>
      <c r="V134" s="55" t="n"/>
      <c r="W134" s="55" t="n"/>
      <c r="X134" s="42" t="n"/>
      <c r="Y134" s="58" t="n"/>
      <c r="Z134" s="42">
        <f>Y134-Y131</f>
        <v/>
      </c>
      <c r="AA134" s="30">
        <f>Z134/Y137</f>
        <v/>
      </c>
    </row>
    <row r="135">
      <c r="A135" s="3" t="n"/>
      <c r="B135" s="4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19" t="n">
        <v>0</v>
      </c>
      <c r="L135" s="3" t="n"/>
      <c r="M135" s="31" t="n"/>
      <c r="O135" s="3" t="n"/>
      <c r="P135" s="4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19" t="n">
        <v>0</v>
      </c>
      <c r="Z135" s="3" t="n"/>
      <c r="AA135" s="31" t="n"/>
    </row>
    <row r="136">
      <c r="A136" s="5" t="inlineStr">
        <is>
          <t>时间</t>
        </is>
      </c>
      <c r="B136" s="6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5">
        <f>K136-K133</f>
        <v/>
      </c>
      <c r="M136" s="29">
        <f>L136/K136</f>
        <v/>
      </c>
      <c r="O136" s="5" t="inlineStr">
        <is>
          <t>时间</t>
        </is>
      </c>
      <c r="P136" s="6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5">
        <f>Y136-Y133</f>
        <v/>
      </c>
      <c r="AA136" s="29">
        <f>Z136/Y136</f>
        <v/>
      </c>
    </row>
    <row r="137">
      <c r="A137" s="11" t="inlineStr">
        <is>
          <t>容量</t>
        </is>
      </c>
      <c r="B137" s="54" t="n"/>
      <c r="C137" s="55" t="n"/>
      <c r="D137" s="55" t="n"/>
      <c r="E137" s="55" t="n"/>
      <c r="F137" s="55" t="n"/>
      <c r="G137" s="55" t="n"/>
      <c r="H137" s="55" t="n"/>
      <c r="I137" s="55" t="n"/>
      <c r="J137" s="42" t="n"/>
      <c r="K137" s="58" t="n"/>
      <c r="L137" s="42">
        <f>K137-K134</f>
        <v/>
      </c>
      <c r="M137" s="30">
        <f>L137/K137</f>
        <v/>
      </c>
      <c r="O137" s="11" t="inlineStr">
        <is>
          <t>容量</t>
        </is>
      </c>
      <c r="P137" s="54" t="n"/>
      <c r="Q137" s="55" t="n"/>
      <c r="R137" s="55" t="n"/>
      <c r="S137" s="55" t="n"/>
      <c r="T137" s="55" t="n"/>
      <c r="U137" s="55" t="n"/>
      <c r="V137" s="55" t="n"/>
      <c r="W137" s="55" t="n"/>
      <c r="X137" s="42" t="n"/>
      <c r="Y137" s="58" t="n"/>
      <c r="Z137" s="42">
        <f>Y137-Y134</f>
        <v/>
      </c>
      <c r="AA137" s="30">
        <f>Z137/Y137</f>
        <v/>
      </c>
    </row>
    <row r="138" ht="14.25" customHeight="1" s="35">
      <c r="A138" s="15" t="inlineStr">
        <is>
          <t>容量</t>
        </is>
      </c>
      <c r="B138" s="16" t="n"/>
      <c r="C138" s="43" t="n"/>
      <c r="D138" s="43" t="n"/>
      <c r="E138" s="44" t="n"/>
      <c r="F138" s="15" t="inlineStr">
        <is>
          <t>能量</t>
        </is>
      </c>
      <c r="G138" s="45" t="n"/>
      <c r="H138" s="43" t="n"/>
      <c r="I138" s="43" t="n"/>
      <c r="J138" s="44" t="n"/>
      <c r="K138" s="15" t="n"/>
      <c r="L138" s="18" t="n"/>
      <c r="M138" s="44" t="n"/>
      <c r="O138" s="15" t="inlineStr">
        <is>
          <t>容量</t>
        </is>
      </c>
      <c r="P138" s="16" t="n"/>
      <c r="Q138" s="43" t="n"/>
      <c r="R138" s="43" t="n"/>
      <c r="S138" s="44" t="n"/>
      <c r="T138" s="15" t="inlineStr">
        <is>
          <t>能量</t>
        </is>
      </c>
      <c r="U138" s="45" t="n"/>
      <c r="V138" s="43" t="n"/>
      <c r="W138" s="43" t="n"/>
      <c r="X138" s="44" t="n"/>
      <c r="Y138" s="15" t="n"/>
      <c r="Z138" s="18" t="n"/>
      <c r="AA138" s="44" t="n"/>
    </row>
    <row r="139" ht="219" customHeight="1" s="35">
      <c r="A139" s="18" t="n"/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4" t="n"/>
      <c r="O139" s="18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  <c r="AA139" s="44" t="n"/>
    </row>
    <row r="140"/>
    <row r="141" ht="25.5" customHeight="1" s="35">
      <c r="A141" s="1" t="inlineStr">
        <is>
          <t>数显测试</t>
        </is>
      </c>
      <c r="O141" s="1" t="inlineStr">
        <is>
          <t>数显测试</t>
        </is>
      </c>
    </row>
    <row r="142" ht="25.5" customHeight="1" s="35">
      <c r="A142" s="2" t="inlineStr">
        <is>
          <t xml:space="preserve">PB519  C口  20V放电  1# </t>
        </is>
      </c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1" t="n"/>
      <c r="O142" s="2" t="inlineStr">
        <is>
          <t xml:space="preserve">PB519  C线  20V放电  2# </t>
        </is>
      </c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1" t="n"/>
    </row>
    <row r="143" ht="35" customHeight="1" s="35">
      <c r="A143" s="3" t="n"/>
      <c r="B143" s="4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19" t="n"/>
      <c r="L143" s="3" t="inlineStr">
        <is>
          <t>每10%</t>
        </is>
      </c>
      <c r="M143" s="20" t="inlineStr">
        <is>
          <t>占总时长比
占总容量比</t>
        </is>
      </c>
      <c r="O143" s="3" t="n"/>
      <c r="P143" s="4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19" t="n"/>
      <c r="Z143" s="3" t="inlineStr">
        <is>
          <t>每10%</t>
        </is>
      </c>
      <c r="AA143" s="20" t="inlineStr">
        <is>
          <t>占总时长比
占总容量比</t>
        </is>
      </c>
    </row>
    <row r="144">
      <c r="A144" s="5" t="inlineStr">
        <is>
          <t>时间</t>
        </is>
      </c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5">
        <f>K144-B144</f>
        <v/>
      </c>
      <c r="M144" s="29">
        <f>L144/K171</f>
        <v/>
      </c>
      <c r="O144" s="5" t="inlineStr">
        <is>
          <t>时间</t>
        </is>
      </c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5">
        <f>Y144-P144</f>
        <v/>
      </c>
      <c r="AA144" s="29">
        <f>Z144/Y171</f>
        <v/>
      </c>
    </row>
    <row r="145">
      <c r="A145" s="11" t="inlineStr">
        <is>
          <t>容量</t>
        </is>
      </c>
      <c r="B145" s="54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42" t="n"/>
      <c r="L145" s="42">
        <f>K145-B145</f>
        <v/>
      </c>
      <c r="M145" s="30">
        <f>L145/K172</f>
        <v/>
      </c>
      <c r="O145" s="11" t="inlineStr">
        <is>
          <t>容量</t>
        </is>
      </c>
      <c r="P145" s="54" t="n"/>
      <c r="Q145" s="55" t="n"/>
      <c r="R145" s="55" t="n"/>
      <c r="S145" s="55" t="n"/>
      <c r="T145" s="55" t="n"/>
      <c r="U145" s="55" t="n"/>
      <c r="V145" s="55" t="n"/>
      <c r="W145" s="55" t="n"/>
      <c r="X145" s="42" t="n"/>
      <c r="Y145" s="58" t="n"/>
      <c r="Z145" s="42">
        <f>Y145-P145</f>
        <v/>
      </c>
      <c r="AA145" s="30">
        <f>Z145/Y172</f>
        <v/>
      </c>
    </row>
    <row r="146">
      <c r="A146" s="3" t="n"/>
      <c r="B146" s="4" t="n">
        <v>0.89</v>
      </c>
      <c r="C146" s="3" t="n">
        <v>0.88</v>
      </c>
      <c r="D146" s="3" t="n">
        <v>0.87</v>
      </c>
      <c r="E146" s="3" t="n">
        <v>0.86</v>
      </c>
      <c r="F146" s="3" t="n">
        <v>0.85</v>
      </c>
      <c r="G146" s="3" t="n">
        <v>0.84</v>
      </c>
      <c r="H146" s="3" t="n">
        <v>0.83</v>
      </c>
      <c r="I146" s="3" t="n">
        <v>0.82</v>
      </c>
      <c r="J146" s="3" t="n">
        <v>0.8100000000000001</v>
      </c>
      <c r="K146" s="19" t="n"/>
      <c r="L146" s="3" t="n"/>
      <c r="M146" s="31" t="n"/>
      <c r="O146" s="3" t="n"/>
      <c r="P146" s="4" t="n">
        <v>0.89</v>
      </c>
      <c r="Q146" s="3" t="n">
        <v>0.88</v>
      </c>
      <c r="R146" s="3" t="n">
        <v>0.87</v>
      </c>
      <c r="S146" s="3" t="n">
        <v>0.86</v>
      </c>
      <c r="T146" s="3" t="n">
        <v>0.85</v>
      </c>
      <c r="U146" s="3" t="n">
        <v>0.84</v>
      </c>
      <c r="V146" s="3" t="n">
        <v>0.83</v>
      </c>
      <c r="W146" s="3" t="n">
        <v>0.82</v>
      </c>
      <c r="X146" s="3" t="n">
        <v>0.8100000000000001</v>
      </c>
      <c r="Y146" s="19" t="n"/>
      <c r="Z146" s="3" t="n"/>
      <c r="AA146" s="31" t="n"/>
    </row>
    <row r="147">
      <c r="A147" s="5" t="inlineStr">
        <is>
          <t>时间</t>
        </is>
      </c>
      <c r="B147" s="6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6" t="n"/>
      <c r="L147" s="5">
        <f>K147-K144</f>
        <v/>
      </c>
      <c r="M147" s="29">
        <f>L147/K171</f>
        <v/>
      </c>
      <c r="O147" s="5" t="inlineStr">
        <is>
          <t>时间</t>
        </is>
      </c>
      <c r="P147" s="6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6" t="n"/>
      <c r="Z147" s="5">
        <f>Y147-Y144</f>
        <v/>
      </c>
      <c r="AA147" s="29">
        <f>Z147/Y171</f>
        <v/>
      </c>
    </row>
    <row r="148">
      <c r="A148" s="11" t="inlineStr">
        <is>
          <t>容量</t>
        </is>
      </c>
      <c r="B148" s="54" t="n"/>
      <c r="C148" s="55" t="n"/>
      <c r="D148" s="55" t="n"/>
      <c r="E148" s="55" t="n"/>
      <c r="F148" s="55" t="n"/>
      <c r="G148" s="55" t="n"/>
      <c r="H148" s="55" t="n"/>
      <c r="I148" s="55" t="n"/>
      <c r="J148" s="42" t="n"/>
      <c r="K148" s="58" t="n"/>
      <c r="L148" s="42">
        <f>K148-K145</f>
        <v/>
      </c>
      <c r="M148" s="30">
        <f>L148/K172</f>
        <v/>
      </c>
      <c r="O148" s="11" t="inlineStr">
        <is>
          <t>容量</t>
        </is>
      </c>
      <c r="P148" s="54" t="n"/>
      <c r="Q148" s="55" t="n"/>
      <c r="R148" s="55" t="n"/>
      <c r="S148" s="55" t="n"/>
      <c r="T148" s="55" t="n"/>
      <c r="U148" s="55" t="n"/>
      <c r="V148" s="55" t="n"/>
      <c r="W148" s="55" t="n"/>
      <c r="X148" s="42" t="n"/>
      <c r="Y148" s="58" t="n"/>
      <c r="Z148" s="42">
        <f>Y148-Y145</f>
        <v/>
      </c>
      <c r="AA148" s="30">
        <f>Z148/Y172</f>
        <v/>
      </c>
    </row>
    <row r="149">
      <c r="A149" s="3" t="n"/>
      <c r="B149" s="4" t="n">
        <v>0.79</v>
      </c>
      <c r="C149" s="3" t="n">
        <v>0.78</v>
      </c>
      <c r="D149" s="3" t="n">
        <v>0.77</v>
      </c>
      <c r="E149" s="3" t="n">
        <v>0.76</v>
      </c>
      <c r="F149" s="3" t="n">
        <v>0.75</v>
      </c>
      <c r="G149" s="3" t="n">
        <v>0.74</v>
      </c>
      <c r="H149" s="3" t="n">
        <v>0.73</v>
      </c>
      <c r="I149" s="3" t="n">
        <v>0.72</v>
      </c>
      <c r="J149" s="3" t="n">
        <v>0.71</v>
      </c>
      <c r="K149" s="19" t="n"/>
      <c r="L149" s="3" t="n"/>
      <c r="M149" s="31" t="n"/>
      <c r="O149" s="3" t="n"/>
      <c r="P149" s="4" t="n">
        <v>0.79</v>
      </c>
      <c r="Q149" s="3" t="n">
        <v>0.78</v>
      </c>
      <c r="R149" s="3" t="n">
        <v>0.77</v>
      </c>
      <c r="S149" s="3" t="n">
        <v>0.76</v>
      </c>
      <c r="T149" s="3" t="n">
        <v>0.75</v>
      </c>
      <c r="U149" s="3" t="n">
        <v>0.74</v>
      </c>
      <c r="V149" s="3" t="n">
        <v>0.73</v>
      </c>
      <c r="W149" s="3" t="n">
        <v>0.72</v>
      </c>
      <c r="X149" s="3" t="n">
        <v>0.71</v>
      </c>
      <c r="Y149" s="19" t="n"/>
      <c r="Z149" s="3" t="n"/>
      <c r="AA149" s="31" t="n"/>
    </row>
    <row r="150">
      <c r="A150" s="5" t="inlineStr">
        <is>
          <t>时间</t>
        </is>
      </c>
      <c r="B150" s="6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6" t="n"/>
      <c r="L150" s="5">
        <f>K150-K147</f>
        <v/>
      </c>
      <c r="M150" s="29">
        <f>L150/K171</f>
        <v/>
      </c>
      <c r="O150" s="5" t="inlineStr">
        <is>
          <t>时间</t>
        </is>
      </c>
      <c r="P150" s="6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6" t="n"/>
      <c r="Z150" s="5">
        <f>Y150-Y147</f>
        <v/>
      </c>
      <c r="AA150" s="29">
        <f>Z150/Y171</f>
        <v/>
      </c>
    </row>
    <row r="151">
      <c r="A151" s="11" t="inlineStr">
        <is>
          <t>容量</t>
        </is>
      </c>
      <c r="B151" s="54" t="n"/>
      <c r="C151" s="55" t="n"/>
      <c r="D151" s="55" t="n"/>
      <c r="E151" s="55" t="n"/>
      <c r="F151" s="55" t="n"/>
      <c r="G151" s="55" t="n"/>
      <c r="H151" s="55" t="n"/>
      <c r="I151" s="55" t="n"/>
      <c r="J151" s="42" t="n"/>
      <c r="K151" s="58" t="n"/>
      <c r="L151" s="42">
        <f>K151-K148</f>
        <v/>
      </c>
      <c r="M151" s="30">
        <f>L151/K172</f>
        <v/>
      </c>
      <c r="O151" s="11" t="inlineStr">
        <is>
          <t>容量</t>
        </is>
      </c>
      <c r="P151" s="54" t="n"/>
      <c r="Q151" s="55" t="n"/>
      <c r="R151" s="55" t="n"/>
      <c r="S151" s="55" t="n"/>
      <c r="T151" s="55" t="n"/>
      <c r="U151" s="55" t="n"/>
      <c r="V151" s="55" t="n"/>
      <c r="W151" s="55" t="n"/>
      <c r="X151" s="42" t="n"/>
      <c r="Y151" s="58" t="n"/>
      <c r="Z151" s="42">
        <f>Y151-Y148</f>
        <v/>
      </c>
      <c r="AA151" s="30">
        <f>Z151/Y172</f>
        <v/>
      </c>
    </row>
    <row r="152">
      <c r="A152" s="3" t="n"/>
      <c r="B152" s="4" t="n">
        <v>0.6899999999999999</v>
      </c>
      <c r="C152" s="3" t="n">
        <v>0.68</v>
      </c>
      <c r="D152" s="3" t="n">
        <v>0.67</v>
      </c>
      <c r="E152" s="3" t="n">
        <v>0.66</v>
      </c>
      <c r="F152" s="3" t="n">
        <v>0.65</v>
      </c>
      <c r="G152" s="3" t="n">
        <v>0.64</v>
      </c>
      <c r="H152" s="3" t="n">
        <v>0.63</v>
      </c>
      <c r="I152" s="3" t="n">
        <v>0.62</v>
      </c>
      <c r="J152" s="3" t="n">
        <v>0.61</v>
      </c>
      <c r="K152" s="19" t="n"/>
      <c r="L152" s="3" t="n"/>
      <c r="M152" s="31" t="n"/>
      <c r="O152" s="3" t="n"/>
      <c r="P152" s="4" t="n">
        <v>0.6899999999999999</v>
      </c>
      <c r="Q152" s="3" t="n">
        <v>0.68</v>
      </c>
      <c r="R152" s="3" t="n">
        <v>0.67</v>
      </c>
      <c r="S152" s="3" t="n">
        <v>0.66</v>
      </c>
      <c r="T152" s="3" t="n">
        <v>0.65</v>
      </c>
      <c r="U152" s="3" t="n">
        <v>0.64</v>
      </c>
      <c r="V152" s="3" t="n">
        <v>0.63</v>
      </c>
      <c r="W152" s="3" t="n">
        <v>0.62</v>
      </c>
      <c r="X152" s="3" t="n">
        <v>0.61</v>
      </c>
      <c r="Y152" s="19" t="n"/>
      <c r="Z152" s="3" t="n"/>
      <c r="AA152" s="31" t="n"/>
    </row>
    <row r="153">
      <c r="A153" s="5" t="inlineStr">
        <is>
          <t>时间</t>
        </is>
      </c>
      <c r="B153" s="6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6" t="n"/>
      <c r="L153" s="5">
        <f>K153-K150</f>
        <v/>
      </c>
      <c r="M153" s="29">
        <f>L153/K171</f>
        <v/>
      </c>
      <c r="O153" s="5" t="inlineStr">
        <is>
          <t>时间</t>
        </is>
      </c>
      <c r="P153" s="6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6" t="n"/>
      <c r="Z153" s="5">
        <f>Y153-Y150</f>
        <v/>
      </c>
      <c r="AA153" s="29">
        <f>Z153/Y171</f>
        <v/>
      </c>
    </row>
    <row r="154">
      <c r="A154" s="11" t="inlineStr">
        <is>
          <t>容量</t>
        </is>
      </c>
      <c r="B154" s="54" t="n"/>
      <c r="C154" s="55" t="n"/>
      <c r="D154" s="55" t="n"/>
      <c r="E154" s="55" t="n"/>
      <c r="F154" s="55" t="n"/>
      <c r="G154" s="55" t="n"/>
      <c r="H154" s="55" t="n"/>
      <c r="I154" s="55" t="n"/>
      <c r="J154" s="42" t="n"/>
      <c r="K154" s="58" t="n"/>
      <c r="L154" s="42">
        <f>K154-K151</f>
        <v/>
      </c>
      <c r="M154" s="30">
        <f>L154/K172</f>
        <v/>
      </c>
      <c r="O154" s="11" t="inlineStr">
        <is>
          <t>容量</t>
        </is>
      </c>
      <c r="P154" s="54" t="n"/>
      <c r="Q154" s="55" t="n"/>
      <c r="R154" s="55" t="n"/>
      <c r="S154" s="55" t="n"/>
      <c r="T154" s="55" t="n"/>
      <c r="U154" s="55" t="n"/>
      <c r="V154" s="55" t="n"/>
      <c r="W154" s="55" t="n"/>
      <c r="X154" s="42" t="n"/>
      <c r="Y154" s="58" t="n"/>
      <c r="Z154" s="42">
        <f>Y154-Y151</f>
        <v/>
      </c>
      <c r="AA154" s="30">
        <f>Z154/Y172</f>
        <v/>
      </c>
    </row>
    <row r="155">
      <c r="A155" s="3" t="n"/>
      <c r="B155" s="4" t="n">
        <v>0.59</v>
      </c>
      <c r="C155" s="3" t="n">
        <v>0.58</v>
      </c>
      <c r="D155" s="3" t="n">
        <v>0.57</v>
      </c>
      <c r="E155" s="3" t="n">
        <v>0.5600000000000001</v>
      </c>
      <c r="F155" s="3" t="n">
        <v>0.55</v>
      </c>
      <c r="G155" s="3" t="n">
        <v>0.54</v>
      </c>
      <c r="H155" s="3" t="n">
        <v>0.53</v>
      </c>
      <c r="I155" s="3" t="n">
        <v>0.52</v>
      </c>
      <c r="J155" s="3" t="n">
        <v>0.51</v>
      </c>
      <c r="K155" s="19" t="n"/>
      <c r="L155" s="3" t="n"/>
      <c r="M155" s="31" t="n"/>
      <c r="O155" s="3" t="n"/>
      <c r="P155" s="4" t="n">
        <v>0.59</v>
      </c>
      <c r="Q155" s="3" t="n">
        <v>0.58</v>
      </c>
      <c r="R155" s="3" t="n">
        <v>0.57</v>
      </c>
      <c r="S155" s="3" t="n">
        <v>0.5600000000000001</v>
      </c>
      <c r="T155" s="3" t="n">
        <v>0.55</v>
      </c>
      <c r="U155" s="3" t="n">
        <v>0.54</v>
      </c>
      <c r="V155" s="3" t="n">
        <v>0.53</v>
      </c>
      <c r="W155" s="3" t="n">
        <v>0.52</v>
      </c>
      <c r="X155" s="3" t="n">
        <v>0.51</v>
      </c>
      <c r="Y155" s="19" t="n"/>
      <c r="Z155" s="3" t="n"/>
      <c r="AA155" s="31" t="n"/>
    </row>
    <row r="156">
      <c r="A156" s="5" t="inlineStr">
        <is>
          <t>时间</t>
        </is>
      </c>
      <c r="B156" s="6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6" t="n"/>
      <c r="L156" s="5">
        <f>K156-K153</f>
        <v/>
      </c>
      <c r="M156" s="29">
        <f>L156/K171</f>
        <v/>
      </c>
      <c r="O156" s="5" t="inlineStr">
        <is>
          <t>时间</t>
        </is>
      </c>
      <c r="P156" s="6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6" t="n"/>
      <c r="Z156" s="5">
        <f>Y156-Y153</f>
        <v/>
      </c>
      <c r="AA156" s="29">
        <f>Z156/Y171</f>
        <v/>
      </c>
    </row>
    <row r="157">
      <c r="A157" s="11" t="inlineStr">
        <is>
          <t>容量</t>
        </is>
      </c>
      <c r="B157" s="54" t="n"/>
      <c r="C157" s="55" t="n"/>
      <c r="D157" s="55" t="n"/>
      <c r="E157" s="55" t="n"/>
      <c r="F157" s="55" t="n"/>
      <c r="G157" s="55" t="n"/>
      <c r="H157" s="55" t="n"/>
      <c r="I157" s="55" t="n"/>
      <c r="J157" s="42" t="n"/>
      <c r="K157" s="58" t="n"/>
      <c r="L157" s="42">
        <f>K157-K154</f>
        <v/>
      </c>
      <c r="M157" s="30">
        <f>L157/K172</f>
        <v/>
      </c>
      <c r="O157" s="11" t="inlineStr">
        <is>
          <t>容量</t>
        </is>
      </c>
      <c r="P157" s="54" t="n"/>
      <c r="Q157" s="55" t="n"/>
      <c r="R157" s="55" t="n"/>
      <c r="S157" s="55" t="n"/>
      <c r="T157" s="55" t="n"/>
      <c r="U157" s="55" t="n"/>
      <c r="V157" s="55" t="n"/>
      <c r="W157" s="55" t="n"/>
      <c r="X157" s="42" t="n"/>
      <c r="Y157" s="58" t="n"/>
      <c r="Z157" s="42">
        <f>Y157-Y154</f>
        <v/>
      </c>
      <c r="AA157" s="30">
        <f>Z157/Y172</f>
        <v/>
      </c>
    </row>
    <row r="158">
      <c r="A158" s="3" t="n"/>
      <c r="B158" s="4" t="n">
        <v>0.49</v>
      </c>
      <c r="C158" s="3" t="n">
        <v>0.48</v>
      </c>
      <c r="D158" s="3" t="n">
        <v>0.47</v>
      </c>
      <c r="E158" s="3" t="n">
        <v>0.46</v>
      </c>
      <c r="F158" s="3" t="n">
        <v>0.45</v>
      </c>
      <c r="G158" s="3" t="n">
        <v>0.44</v>
      </c>
      <c r="H158" s="3" t="n">
        <v>0.43</v>
      </c>
      <c r="I158" s="3" t="n">
        <v>0.42</v>
      </c>
      <c r="J158" s="3" t="n">
        <v>0.41</v>
      </c>
      <c r="K158" s="19" t="n"/>
      <c r="L158" s="3" t="n"/>
      <c r="M158" s="31" t="n"/>
      <c r="O158" s="3" t="n"/>
      <c r="P158" s="4" t="n">
        <v>0.49</v>
      </c>
      <c r="Q158" s="3" t="n">
        <v>0.48</v>
      </c>
      <c r="R158" s="3" t="n">
        <v>0.47</v>
      </c>
      <c r="S158" s="3" t="n">
        <v>0.46</v>
      </c>
      <c r="T158" s="3" t="n">
        <v>0.45</v>
      </c>
      <c r="U158" s="3" t="n">
        <v>0.44</v>
      </c>
      <c r="V158" s="3" t="n">
        <v>0.43</v>
      </c>
      <c r="W158" s="3" t="n">
        <v>0.42</v>
      </c>
      <c r="X158" s="3" t="n">
        <v>0.41</v>
      </c>
      <c r="Y158" s="19" t="n"/>
      <c r="Z158" s="3" t="n"/>
      <c r="AA158" s="31" t="n"/>
    </row>
    <row r="159">
      <c r="A159" s="5" t="inlineStr">
        <is>
          <t>时间</t>
        </is>
      </c>
      <c r="B159" s="6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6" t="n"/>
      <c r="L159" s="5">
        <f>K159-K156</f>
        <v/>
      </c>
      <c r="M159" s="29">
        <f>L159/K171</f>
        <v/>
      </c>
      <c r="O159" s="5" t="inlineStr">
        <is>
          <t>时间</t>
        </is>
      </c>
      <c r="P159" s="6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6" t="n"/>
      <c r="Z159" s="5">
        <f>Y159-Y156</f>
        <v/>
      </c>
      <c r="AA159" s="29">
        <f>Z159/Y171</f>
        <v/>
      </c>
    </row>
    <row r="160">
      <c r="A160" s="11" t="inlineStr">
        <is>
          <t>容量</t>
        </is>
      </c>
      <c r="B160" s="54" t="n"/>
      <c r="C160" s="55" t="n"/>
      <c r="D160" s="55" t="n"/>
      <c r="E160" s="55" t="n"/>
      <c r="F160" s="55" t="n"/>
      <c r="G160" s="55" t="n"/>
      <c r="H160" s="55" t="n"/>
      <c r="I160" s="55" t="n"/>
      <c r="J160" s="42" t="n"/>
      <c r="K160" s="58" t="n"/>
      <c r="L160" s="42">
        <f>K160-K157</f>
        <v/>
      </c>
      <c r="M160" s="30">
        <f>L160/K172</f>
        <v/>
      </c>
      <c r="O160" s="11" t="inlineStr">
        <is>
          <t>容量</t>
        </is>
      </c>
      <c r="P160" s="54" t="n"/>
      <c r="Q160" s="55" t="n"/>
      <c r="R160" s="55" t="n"/>
      <c r="S160" s="55" t="n"/>
      <c r="T160" s="55" t="n"/>
      <c r="U160" s="55" t="n"/>
      <c r="V160" s="55" t="n"/>
      <c r="W160" s="55" t="n"/>
      <c r="X160" s="42" t="n"/>
      <c r="Y160" s="58" t="n"/>
      <c r="Z160" s="42">
        <f>Y160-Y157</f>
        <v/>
      </c>
      <c r="AA160" s="30">
        <f>Z160/Y172</f>
        <v/>
      </c>
    </row>
    <row r="161">
      <c r="A161" s="3" t="n"/>
      <c r="B161" s="4" t="n">
        <v>0.39</v>
      </c>
      <c r="C161" s="3" t="n">
        <v>0.38</v>
      </c>
      <c r="D161" s="14" t="n">
        <v>0.37</v>
      </c>
      <c r="E161" s="3" t="n">
        <v>0.36</v>
      </c>
      <c r="F161" s="3" t="n">
        <v>0.35</v>
      </c>
      <c r="G161" s="3" t="n">
        <v>0.34</v>
      </c>
      <c r="H161" s="3" t="n">
        <v>0.33</v>
      </c>
      <c r="I161" s="3" t="n">
        <v>0.32</v>
      </c>
      <c r="J161" s="3" t="n">
        <v>0.31</v>
      </c>
      <c r="K161" s="19" t="n"/>
      <c r="L161" s="3" t="n"/>
      <c r="M161" s="31" t="n"/>
      <c r="O161" s="3" t="n"/>
      <c r="P161" s="4" t="n">
        <v>0.39</v>
      </c>
      <c r="Q161" s="3" t="n">
        <v>0.38</v>
      </c>
      <c r="R161" s="14" t="n">
        <v>0.37</v>
      </c>
      <c r="S161" s="3" t="n">
        <v>0.36</v>
      </c>
      <c r="T161" s="3" t="n">
        <v>0.35</v>
      </c>
      <c r="U161" s="3" t="n">
        <v>0.34</v>
      </c>
      <c r="V161" s="3" t="n">
        <v>0.33</v>
      </c>
      <c r="W161" s="3" t="n">
        <v>0.32</v>
      </c>
      <c r="X161" s="3" t="n">
        <v>0.31</v>
      </c>
      <c r="Y161" s="19" t="n"/>
      <c r="Z161" s="3" t="n"/>
      <c r="AA161" s="31" t="n"/>
    </row>
    <row r="162">
      <c r="A162" s="5" t="inlineStr">
        <is>
          <t>时间</t>
        </is>
      </c>
      <c r="B162" s="6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6" t="n"/>
      <c r="L162" s="5">
        <f>K162-K159</f>
        <v/>
      </c>
      <c r="M162" s="29">
        <f>L162/K171</f>
        <v/>
      </c>
      <c r="O162" s="5" t="inlineStr">
        <is>
          <t>时间</t>
        </is>
      </c>
      <c r="P162" s="6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6" t="n"/>
      <c r="Z162" s="5">
        <f>Y162-Y159</f>
        <v/>
      </c>
      <c r="AA162" s="29">
        <f>Z162/Y171</f>
        <v/>
      </c>
    </row>
    <row r="163">
      <c r="A163" s="11" t="inlineStr">
        <is>
          <t>容量</t>
        </is>
      </c>
      <c r="B163" s="54" t="n"/>
      <c r="C163" s="55" t="n"/>
      <c r="D163" s="55" t="n"/>
      <c r="E163" s="55" t="n"/>
      <c r="F163" s="55" t="n"/>
      <c r="G163" s="55" t="n"/>
      <c r="H163" s="55" t="n"/>
      <c r="I163" s="55" t="n"/>
      <c r="J163" s="42" t="n"/>
      <c r="K163" s="58" t="n"/>
      <c r="L163" s="42">
        <f>K163-K160</f>
        <v/>
      </c>
      <c r="M163" s="30">
        <f>L163/K172</f>
        <v/>
      </c>
      <c r="O163" s="11" t="inlineStr">
        <is>
          <t>容量</t>
        </is>
      </c>
      <c r="P163" s="54" t="n"/>
      <c r="Q163" s="55" t="n"/>
      <c r="R163" s="55" t="n"/>
      <c r="S163" s="55" t="n"/>
      <c r="T163" s="55" t="n"/>
      <c r="U163" s="55" t="n"/>
      <c r="V163" s="55" t="n"/>
      <c r="W163" s="55" t="n"/>
      <c r="X163" s="42" t="n"/>
      <c r="Y163" s="58" t="n"/>
      <c r="Z163" s="42">
        <f>Y163-Y160</f>
        <v/>
      </c>
      <c r="AA163" s="30">
        <f>Z163/Y172</f>
        <v/>
      </c>
    </row>
    <row r="164">
      <c r="A164" s="3" t="n"/>
      <c r="B164" s="4" t="n">
        <v>0.29</v>
      </c>
      <c r="C164" s="3" t="n">
        <v>0.28</v>
      </c>
      <c r="D164" s="3" t="n">
        <v>0.27</v>
      </c>
      <c r="E164" s="3" t="n">
        <v>0.26</v>
      </c>
      <c r="F164" s="3" t="n">
        <v>0.25</v>
      </c>
      <c r="G164" s="3" t="n">
        <v>0.24</v>
      </c>
      <c r="H164" s="3" t="n">
        <v>0.23</v>
      </c>
      <c r="I164" s="3" t="n">
        <v>0.22</v>
      </c>
      <c r="J164" s="3" t="n">
        <v>0.21</v>
      </c>
      <c r="K164" s="19" t="n"/>
      <c r="L164" s="3" t="n"/>
      <c r="M164" s="31" t="n"/>
      <c r="O164" s="3" t="n"/>
      <c r="P164" s="4" t="n">
        <v>0.29</v>
      </c>
      <c r="Q164" s="3" t="n">
        <v>0.28</v>
      </c>
      <c r="R164" s="3" t="n">
        <v>0.27</v>
      </c>
      <c r="S164" s="3" t="n">
        <v>0.26</v>
      </c>
      <c r="T164" s="3" t="n">
        <v>0.25</v>
      </c>
      <c r="U164" s="3" t="n">
        <v>0.24</v>
      </c>
      <c r="V164" s="3" t="n">
        <v>0.23</v>
      </c>
      <c r="W164" s="3" t="n">
        <v>0.22</v>
      </c>
      <c r="X164" s="3" t="n">
        <v>0.21</v>
      </c>
      <c r="Y164" s="19" t="n"/>
      <c r="Z164" s="3" t="n"/>
      <c r="AA164" s="31" t="n"/>
    </row>
    <row r="165">
      <c r="A165" s="5" t="inlineStr">
        <is>
          <t>时间</t>
        </is>
      </c>
      <c r="B165" s="6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6" t="n"/>
      <c r="L165" s="5">
        <f>K165-K162</f>
        <v/>
      </c>
      <c r="M165" s="29">
        <f>L165/K171</f>
        <v/>
      </c>
      <c r="O165" s="5" t="inlineStr">
        <is>
          <t>时间</t>
        </is>
      </c>
      <c r="P165" s="6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6" t="n"/>
      <c r="Z165" s="5">
        <f>Y165-Y162</f>
        <v/>
      </c>
      <c r="AA165" s="29">
        <f>Z165/Y171</f>
        <v/>
      </c>
    </row>
    <row r="166">
      <c r="A166" s="11" t="inlineStr">
        <is>
          <t>容量</t>
        </is>
      </c>
      <c r="B166" s="54" t="n"/>
      <c r="C166" s="55" t="n"/>
      <c r="D166" s="55" t="n"/>
      <c r="E166" s="55" t="n"/>
      <c r="F166" s="55" t="n"/>
      <c r="G166" s="55" t="n"/>
      <c r="H166" s="55" t="n"/>
      <c r="I166" s="55" t="n"/>
      <c r="J166" s="42" t="n"/>
      <c r="K166" s="58" t="n"/>
      <c r="L166" s="42">
        <f>K166-K163</f>
        <v/>
      </c>
      <c r="M166" s="30">
        <f>L166/K172</f>
        <v/>
      </c>
      <c r="O166" s="11" t="inlineStr">
        <is>
          <t>容量</t>
        </is>
      </c>
      <c r="P166" s="54" t="n"/>
      <c r="Q166" s="55" t="n"/>
      <c r="R166" s="55" t="n"/>
      <c r="S166" s="55" t="n"/>
      <c r="T166" s="55" t="n"/>
      <c r="U166" s="55" t="n"/>
      <c r="V166" s="55" t="n"/>
      <c r="W166" s="55" t="n"/>
      <c r="X166" s="42" t="n"/>
      <c r="Y166" s="58" t="n"/>
      <c r="Z166" s="42">
        <f>Y166-Y163</f>
        <v/>
      </c>
      <c r="AA166" s="30">
        <f>Z166/Y172</f>
        <v/>
      </c>
    </row>
    <row r="167">
      <c r="A167" s="3" t="n"/>
      <c r="B167" s="4" t="n">
        <v>0.19</v>
      </c>
      <c r="C167" s="3" t="n">
        <v>0.18</v>
      </c>
      <c r="D167" s="3" t="n">
        <v>0.17</v>
      </c>
      <c r="E167" s="3" t="n">
        <v>0.16</v>
      </c>
      <c r="F167" s="3" t="n">
        <v>0.15</v>
      </c>
      <c r="G167" s="3" t="n">
        <v>0.14</v>
      </c>
      <c r="H167" s="3" t="n">
        <v>0.13</v>
      </c>
      <c r="I167" s="3" t="n">
        <v>0.12</v>
      </c>
      <c r="J167" s="3" t="n">
        <v>0.11</v>
      </c>
      <c r="K167" s="19" t="n"/>
      <c r="L167" s="3" t="n"/>
      <c r="M167" s="31" t="n"/>
      <c r="O167" s="3" t="n"/>
      <c r="P167" s="4" t="n">
        <v>0.19</v>
      </c>
      <c r="Q167" s="3" t="n">
        <v>0.18</v>
      </c>
      <c r="R167" s="3" t="n">
        <v>0.17</v>
      </c>
      <c r="S167" s="3" t="n">
        <v>0.16</v>
      </c>
      <c r="T167" s="3" t="n">
        <v>0.15</v>
      </c>
      <c r="U167" s="3" t="n">
        <v>0.14</v>
      </c>
      <c r="V167" s="3" t="n">
        <v>0.13</v>
      </c>
      <c r="W167" s="3" t="n">
        <v>0.12</v>
      </c>
      <c r="X167" s="3" t="n">
        <v>0.11</v>
      </c>
      <c r="Y167" s="19" t="n"/>
      <c r="Z167" s="3" t="n"/>
      <c r="AA167" s="31" t="n"/>
    </row>
    <row r="168">
      <c r="A168" s="5" t="inlineStr">
        <is>
          <t>时间</t>
        </is>
      </c>
      <c r="B168" s="6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6" t="n"/>
      <c r="L168" s="5">
        <f>K168-K165</f>
        <v/>
      </c>
      <c r="M168" s="29">
        <f>L168/K171</f>
        <v/>
      </c>
      <c r="O168" s="5" t="inlineStr">
        <is>
          <t>时间</t>
        </is>
      </c>
      <c r="P168" s="6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6" t="n"/>
      <c r="Z168" s="5">
        <f>Y168-Y165</f>
        <v/>
      </c>
      <c r="AA168" s="29">
        <f>Z168/Y171</f>
        <v/>
      </c>
    </row>
    <row r="169">
      <c r="A169" s="11" t="inlineStr">
        <is>
          <t>容量</t>
        </is>
      </c>
      <c r="B169" s="54" t="n"/>
      <c r="C169" s="55" t="n"/>
      <c r="D169" s="55" t="n"/>
      <c r="E169" s="55" t="n"/>
      <c r="F169" s="55" t="n"/>
      <c r="G169" s="55" t="n"/>
      <c r="H169" s="55" t="n"/>
      <c r="I169" s="55" t="n"/>
      <c r="J169" s="42" t="n"/>
      <c r="K169" s="58" t="n"/>
      <c r="L169" s="42">
        <f>K169-K166</f>
        <v/>
      </c>
      <c r="M169" s="30">
        <f>L169/K172</f>
        <v/>
      </c>
      <c r="O169" s="11" t="inlineStr">
        <is>
          <t>容量</t>
        </is>
      </c>
      <c r="P169" s="54" t="n"/>
      <c r="Q169" s="55" t="n"/>
      <c r="R169" s="55" t="n"/>
      <c r="S169" s="55" t="n"/>
      <c r="T169" s="55" t="n"/>
      <c r="U169" s="55" t="n"/>
      <c r="V169" s="55" t="n"/>
      <c r="W169" s="55" t="n"/>
      <c r="X169" s="42" t="n"/>
      <c r="Y169" s="58" t="n"/>
      <c r="Z169" s="42">
        <f>Y169-Y166</f>
        <v/>
      </c>
      <c r="AA169" s="30">
        <f>Z169/Y172</f>
        <v/>
      </c>
    </row>
    <row r="170">
      <c r="A170" s="3" t="n"/>
      <c r="B170" s="4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19" t="n">
        <v>0</v>
      </c>
      <c r="L170" s="3" t="n"/>
      <c r="M170" s="31" t="n"/>
      <c r="O170" s="3" t="n"/>
      <c r="P170" s="4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19" t="n">
        <v>0</v>
      </c>
      <c r="Z170" s="3" t="n"/>
      <c r="AA170" s="31" t="n"/>
    </row>
    <row r="171">
      <c r="A171" s="5" t="inlineStr">
        <is>
          <t>时间</t>
        </is>
      </c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5">
        <f>K171-K168</f>
        <v/>
      </c>
      <c r="M171" s="29">
        <f>L171/K171</f>
        <v/>
      </c>
      <c r="O171" s="5" t="inlineStr">
        <is>
          <t>时间</t>
        </is>
      </c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5">
        <f>Y171-Y168</f>
        <v/>
      </c>
      <c r="AA171" s="29">
        <f>Z171/Y171</f>
        <v/>
      </c>
    </row>
    <row r="172">
      <c r="A172" s="11" t="inlineStr">
        <is>
          <t>容量</t>
        </is>
      </c>
      <c r="B172" s="54" t="n"/>
      <c r="C172" s="55" t="n"/>
      <c r="D172" s="55" t="n"/>
      <c r="E172" s="55" t="n"/>
      <c r="F172" s="55" t="n"/>
      <c r="G172" s="55" t="n"/>
      <c r="H172" s="55" t="n"/>
      <c r="I172" s="55" t="n"/>
      <c r="J172" s="42" t="n"/>
      <c r="K172" s="58" t="n"/>
      <c r="L172" s="42">
        <f>K172-K169</f>
        <v/>
      </c>
      <c r="M172" s="30">
        <f>L172/K172</f>
        <v/>
      </c>
      <c r="O172" s="11" t="inlineStr">
        <is>
          <t>容量</t>
        </is>
      </c>
      <c r="P172" s="54" t="n"/>
      <c r="Q172" s="55" t="n"/>
      <c r="R172" s="55" t="n"/>
      <c r="S172" s="55" t="n"/>
      <c r="T172" s="55" t="n"/>
      <c r="U172" s="55" t="n"/>
      <c r="V172" s="55" t="n"/>
      <c r="W172" s="55" t="n"/>
      <c r="X172" s="42" t="n"/>
      <c r="Y172" s="58" t="n"/>
      <c r="Z172" s="42">
        <f>Y172-Y169</f>
        <v/>
      </c>
      <c r="AA172" s="30">
        <f>Z172/Y172</f>
        <v/>
      </c>
    </row>
    <row r="173" ht="14.25" customHeight="1" s="35">
      <c r="A173" s="15" t="inlineStr">
        <is>
          <t>容量</t>
        </is>
      </c>
      <c r="B173" s="16" t="n"/>
      <c r="C173" s="43" t="n"/>
      <c r="D173" s="43" t="n"/>
      <c r="E173" s="44" t="n"/>
      <c r="F173" s="15" t="inlineStr">
        <is>
          <t>能量</t>
        </is>
      </c>
      <c r="G173" s="45" t="n"/>
      <c r="H173" s="43" t="n"/>
      <c r="I173" s="43" t="n"/>
      <c r="J173" s="44" t="n"/>
      <c r="K173" s="15" t="n"/>
      <c r="L173" s="18" t="n"/>
      <c r="M173" s="44" t="n"/>
      <c r="O173" s="15" t="inlineStr">
        <is>
          <t>容量</t>
        </is>
      </c>
      <c r="P173" s="16" t="n"/>
      <c r="Q173" s="43" t="n"/>
      <c r="R173" s="43" t="n"/>
      <c r="S173" s="44" t="n"/>
      <c r="T173" s="15" t="inlineStr">
        <is>
          <t>能量</t>
        </is>
      </c>
      <c r="U173" s="45" t="n"/>
      <c r="V173" s="43" t="n"/>
      <c r="W173" s="43" t="n"/>
      <c r="X173" s="44" t="n"/>
      <c r="Y173" s="15" t="n"/>
      <c r="Z173" s="18" t="n"/>
      <c r="AA173" s="44" t="n"/>
    </row>
    <row r="174" ht="219" customHeight="1" s="35">
      <c r="A174" s="18" t="n"/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4" t="n"/>
      <c r="O174" s="18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  <c r="AA174" s="44" t="n"/>
    </row>
  </sheetData>
  <mergeCells count="60">
    <mergeCell ref="O142:AA142"/>
    <mergeCell ref="O104:AA104"/>
    <mergeCell ref="U33:X33"/>
    <mergeCell ref="O71:AA71"/>
    <mergeCell ref="A106:M106"/>
    <mergeCell ref="A141:M141"/>
    <mergeCell ref="B68:E68"/>
    <mergeCell ref="L103:M103"/>
    <mergeCell ref="B33:E33"/>
    <mergeCell ref="P68:S68"/>
    <mergeCell ref="G138:J138"/>
    <mergeCell ref="A72:M72"/>
    <mergeCell ref="U173:X173"/>
    <mergeCell ref="U68:X68"/>
    <mergeCell ref="U138:X138"/>
    <mergeCell ref="O2:AA2"/>
    <mergeCell ref="P33:S33"/>
    <mergeCell ref="O72:AA72"/>
    <mergeCell ref="G173:J173"/>
    <mergeCell ref="L68:M68"/>
    <mergeCell ref="O37:AA37"/>
    <mergeCell ref="O106:AA106"/>
    <mergeCell ref="B173:E173"/>
    <mergeCell ref="A34:M34"/>
    <mergeCell ref="B138:E138"/>
    <mergeCell ref="P173:S173"/>
    <mergeCell ref="L33:M33"/>
    <mergeCell ref="O34:AA34"/>
    <mergeCell ref="P103:S103"/>
    <mergeCell ref="P138:S138"/>
    <mergeCell ref="A107:M107"/>
    <mergeCell ref="A142:M142"/>
    <mergeCell ref="A36:M36"/>
    <mergeCell ref="Z68:AA68"/>
    <mergeCell ref="A1:M1"/>
    <mergeCell ref="O107:AA107"/>
    <mergeCell ref="O36:AA36"/>
    <mergeCell ref="Z33:AA33"/>
    <mergeCell ref="L138:M138"/>
    <mergeCell ref="A69:M69"/>
    <mergeCell ref="A174:M174"/>
    <mergeCell ref="G103:J103"/>
    <mergeCell ref="A2:M2"/>
    <mergeCell ref="A71:M71"/>
    <mergeCell ref="O1:AA1"/>
    <mergeCell ref="O141:AA141"/>
    <mergeCell ref="Z138:AA138"/>
    <mergeCell ref="A37:M37"/>
    <mergeCell ref="Z103:AA103"/>
    <mergeCell ref="L173:M173"/>
    <mergeCell ref="A139:M139"/>
    <mergeCell ref="G68:J68"/>
    <mergeCell ref="O69:AA69"/>
    <mergeCell ref="B103:E103"/>
    <mergeCell ref="G33:J33"/>
    <mergeCell ref="O174:AA174"/>
    <mergeCell ref="U103:X103"/>
    <mergeCell ref="A104:M104"/>
    <mergeCell ref="Z173:AA173"/>
    <mergeCell ref="O139:AA1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张浪</dc:creator>
  <dcterms:created xsi:type="dcterms:W3CDTF">2026-09-03T20:50:00Z</dcterms:created>
  <dcterms:modified xsi:type="dcterms:W3CDTF">2026-09-24T01:39:12Z</dcterms:modified>
  <cp:lastModifiedBy>040739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0FEA971A6F8870F2944DA76A67CEA483_43</vt:lpwstr>
  </property>
  <property name="KSOProductBuildVer" fmtid="{D5CDD505-2E9C-101B-9397-08002B2CF9AE}" pid="3">
    <vt:lpwstr>2052-11.8.2.11019</vt:lpwstr>
  </property>
  <property name="CalculationRule" fmtid="{D5CDD505-2E9C-101B-9397-08002B2CF9AE}" pid="4">
    <vt:i4>1</vt:i4>
  </property>
</Properties>
</file>